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Mode d'emploi" sheetId="1" state="visible" r:id="rId1"/>
    <sheet xmlns:r="http://schemas.openxmlformats.org/officeDocument/2006/relationships" name="🗺️ Zones" sheetId="2" state="visible" r:id="rId2"/>
    <sheet xmlns:r="http://schemas.openxmlformats.org/officeDocument/2006/relationships" name="👾 Boss" sheetId="3" state="visible" r:id="rId3"/>
    <sheet xmlns:r="http://schemas.openxmlformats.org/officeDocument/2006/relationships" name="⚡ Mécaniques Boss" sheetId="4" state="visible" r:id="rId4"/>
    <sheet xmlns:r="http://schemas.openxmlformats.org/officeDocument/2006/relationships" name="🏋️ Exercices" sheetId="5" state="visible" r:id="rId5"/>
    <sheet xmlns:r="http://schemas.openxmlformats.org/officeDocument/2006/relationships" name="⚔️ Armes" sheetId="6" state="visible" r:id="rId6"/>
    <sheet xmlns:r="http://schemas.openxmlformats.org/officeDocument/2006/relationships" name="🔮 Sorts" sheetId="7" state="visible" r:id="rId7"/>
    <sheet xmlns:r="http://schemas.openxmlformats.org/officeDocument/2006/relationships" name="🔨 Recettes Forgeron" sheetId="8" state="visible" r:id="rId8"/>
    <sheet xmlns:r="http://schemas.openxmlformats.org/officeDocument/2006/relationships" name="🧪 Recettes Sorcière" sheetId="9" state="visible" r:id="rId9"/>
    <sheet xmlns:r="http://schemas.openxmlformats.org/officeDocument/2006/relationships" name="🪨 Matériaux" sheetId="10" state="visible" r:id="rId10"/>
    <sheet xmlns:r="http://schemas.openxmlformats.org/officeDocument/2006/relationships" name="🌿 Ingrédients" sheetId="11" state="visible" r:id="rId11"/>
    <sheet xmlns:r="http://schemas.openxmlformats.org/officeDocument/2006/relationships" name="📈 Progression" sheetId="12" state="visible" r:id="rId12"/>
    <sheet xmlns:r="http://schemas.openxmlformats.org/officeDocument/2006/relationships" name="🏆 Records" sheetId="13" state="visible" r:id="rId13"/>
    <sheet xmlns:r="http://schemas.openxmlformats.org/officeDocument/2006/relationships" name="📊 Référence" sheetId="14" state="visible" r:id="rId14"/>
    <sheet xmlns:r="http://schemas.openxmlformats.org/officeDocument/2006/relationships" name="⚔️ Dégâts Combat" sheetId="15" state="visible" r:id="rId15"/>
    <sheet xmlns:r="http://schemas.openxmlformats.org/officeDocument/2006/relationships" name="💥 Limites" sheetId="16" state="visible" r:id="rId16"/>
    <sheet xmlns:r="http://schemas.openxmlformats.org/officeDocument/2006/relationships" name="🌟 Invocations" sheetId="17" state="visible" r:id="rId17"/>
    <sheet xmlns:r="http://schemas.openxmlformats.org/officeDocument/2006/relationships" name="⚙️ Règles Invoca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b val="1"/>
      <color rgb="00F8FAFC"/>
      <sz val="16"/>
    </font>
    <font>
      <name val="Arial"/>
      <b val="1"/>
      <color rgb="00F8FAFC"/>
      <sz val="10"/>
    </font>
    <font>
      <name val="Arial"/>
      <b val="1"/>
      <color rgb="000F172A"/>
      <sz val="9"/>
    </font>
    <font>
      <name val="Arial"/>
      <color rgb="000F172A"/>
      <sz val="9"/>
    </font>
    <font>
      <name val="Arial"/>
      <b val="1"/>
      <color rgb="00D1FAE5"/>
      <sz val="11"/>
    </font>
    <font>
      <name val="Arial"/>
      <b val="1"/>
      <color rgb="00EFF6FF"/>
      <sz val="9"/>
    </font>
    <font>
      <name val="Arial"/>
      <b val="1"/>
      <color rgb="00F8FAFC"/>
      <sz val="9"/>
    </font>
    <font>
      <name val="Arial"/>
      <color rgb="001E293B"/>
      <sz val="9"/>
    </font>
    <font>
      <name val="Arial"/>
      <b val="1"/>
      <color rgb="00F8FAFC"/>
      <sz val="14"/>
    </font>
    <font>
      <name val="Arial"/>
      <b val="1"/>
      <color rgb="00F8FAFC"/>
      <sz val="11"/>
    </font>
    <font>
      <name val="Arial"/>
      <b val="1"/>
      <color rgb="001E293B"/>
      <sz val="9"/>
    </font>
    <font>
      <name val="Arial"/>
      <i val="1"/>
      <color rgb="001E3A8A"/>
      <sz val="9"/>
    </font>
    <font>
      <name val="Arial"/>
      <b val="1"/>
      <color rgb="001E293B"/>
      <sz val="10"/>
    </font>
    <font>
      <name val="Arial"/>
      <i val="1"/>
      <color rgb="00475569"/>
      <sz val="9"/>
    </font>
    <font>
      <name val="Arial"/>
      <b val="1"/>
      <color rgb="00D97706"/>
      <sz val="9"/>
    </font>
    <font>
      <name val="Arial"/>
      <b val="1"/>
      <color rgb="00FEF3C7"/>
      <sz val="9"/>
    </font>
    <font>
      <name val="Arial"/>
      <b val="1"/>
      <color rgb="00065F46"/>
      <sz val="9"/>
    </font>
    <font>
      <name val="Arial"/>
      <color rgb="00475569"/>
      <sz val="9"/>
    </font>
    <font>
      <name val="Arial"/>
      <i val="1"/>
      <color rgb="00F8FAFC"/>
      <sz val="9"/>
    </font>
    <font>
      <name val="Arial"/>
      <b val="1"/>
      <color rgb="00F8FAFC"/>
      <sz val="15"/>
    </font>
    <font>
      <name val="Arial"/>
      <color rgb="001E3A8A"/>
      <sz val="9"/>
    </font>
    <font>
      <name val="Arial"/>
      <b val="1"/>
      <color rgb="00065F46"/>
      <sz val="10"/>
    </font>
    <font>
      <name val="Arial"/>
      <b val="1"/>
      <color rgb="004C1D95"/>
      <sz val="9"/>
    </font>
    <font>
      <name val="Arial"/>
      <b val="1"/>
      <color rgb="0092400E"/>
      <sz val="9"/>
    </font>
    <font>
      <name val="Arial"/>
      <b val="1"/>
      <color rgb="001E3A8A"/>
      <sz val="9"/>
    </font>
    <font>
      <name val="Arial"/>
      <i val="1"/>
      <color rgb="001E293B"/>
      <sz val="9"/>
    </font>
    <font>
      <name val="Arial"/>
      <b val="1"/>
      <color rgb="00991B1B"/>
      <sz val="9"/>
    </font>
    <font>
      <name val="Arial"/>
      <b val="1"/>
      <color rgb="00475569"/>
      <sz val="9"/>
    </font>
    <font>
      <name val="Arial"/>
      <b val="1"/>
      <color rgb="00065F46"/>
      <sz val="11"/>
    </font>
    <font>
      <name val="Arial"/>
      <i val="1"/>
      <color rgb="00065F46"/>
      <sz val="9"/>
    </font>
    <font>
      <b val="1"/>
      <color rgb="00FFFFFF"/>
      <sz val="9"/>
    </font>
    <font>
      <sz val="9"/>
    </font>
    <font>
      <i val="1"/>
      <color rgb="00555555"/>
      <sz val="8"/>
    </font>
    <font>
      <b val="1"/>
      <color rgb="00BDC3C7"/>
      <sz val="9"/>
    </font>
    <font>
      <b val="1"/>
      <color rgb="002980B9"/>
      <sz val="9"/>
    </font>
    <font>
      <b val="1"/>
      <sz val="9"/>
    </font>
    <font>
      <b val="1"/>
      <color rgb="008E44AD"/>
      <sz val="9"/>
    </font>
    <font>
      <b val="1"/>
      <color rgb="00E67E22"/>
      <sz val="9"/>
    </font>
    <font>
      <i val="1"/>
      <color rgb="00444444"/>
      <sz val="8"/>
    </font>
    <font>
      <name val="Calibri"/>
      <b val="1"/>
      <color rgb="FFFDE68A"/>
      <sz val="10"/>
    </font>
    <font>
      <name val="Calibri"/>
      <color rgb="FFEEF2FF"/>
      <sz val="9"/>
    </font>
    <font>
      <name val="Calibri"/>
      <b val="1"/>
      <color rgb="FFFFFFFF"/>
      <sz val="9"/>
    </font>
    <font>
      <b val="1"/>
      <color rgb="FFFDE68A"/>
      <sz val="10"/>
    </font>
    <font>
      <color rgb="FFBFDBFE"/>
      <sz val="9"/>
    </font>
    <font>
      <name val="Arial"/>
      <b val="1"/>
      <color rgb="00FDE68A"/>
      <sz val="10"/>
    </font>
    <font>
      <name val="Arial"/>
      <color rgb="00A5B4FC"/>
      <sz val="9"/>
    </font>
    <font>
      <name val="Arial"/>
      <b val="1"/>
      <color rgb="00EEF2FF"/>
      <sz val="9"/>
    </font>
    <font>
      <name val="Arial"/>
      <color rgb="00EEF2FF"/>
      <sz val="9"/>
    </font>
    <font>
      <name val="Arial"/>
      <b val="1"/>
      <color rgb="00FFFFFF"/>
      <sz val="9"/>
    </font>
    <font>
      <name val="Arial"/>
      <b val="1"/>
      <color rgb="00A5B4FC"/>
      <sz val="9"/>
    </font>
    <font>
      <b val="1"/>
      <color rgb="00FBBF24"/>
      <sz val="9"/>
    </font>
  </fonts>
  <fills count="7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40AF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065F46"/>
      </patternFill>
    </fill>
    <fill>
      <patternFill patternType="solid">
        <fgColor rgb="001D4ED8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7F1D1D"/>
      </patternFill>
    </fill>
    <fill>
      <patternFill patternType="solid">
        <fgColor rgb="001E3A5F"/>
      </patternFill>
    </fill>
    <fill>
      <patternFill patternType="solid">
        <fgColor rgb="0014532D"/>
      </patternFill>
    </fill>
    <fill>
      <patternFill patternType="solid">
        <fgColor rgb="004A1D96"/>
      </patternFill>
    </fill>
    <fill>
      <patternFill patternType="solid">
        <fgColor rgb="00FFE4E6"/>
      </patternFill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92400E"/>
      </patternFill>
    </fill>
    <fill>
      <patternFill patternType="solid">
        <fgColor rgb="00FEF3C7"/>
      </patternFill>
    </fill>
    <fill>
      <patternFill patternType="solid">
        <fgColor rgb="00D1F2EB"/>
      </patternFill>
    </fill>
    <fill>
      <patternFill patternType="solid">
        <fgColor rgb="00FDF2E9"/>
      </patternFill>
    </fill>
    <fill>
      <patternFill patternType="solid">
        <fgColor rgb="00D97706"/>
      </patternFill>
    </fill>
    <fill>
      <patternFill patternType="solid">
        <fgColor rgb="00FFF9C4"/>
      </patternFill>
    </fill>
    <fill>
      <patternFill patternType="solid">
        <fgColor rgb="00991B1B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ECFDF5"/>
      </patternFill>
    </fill>
    <fill>
      <patternFill patternType="solid">
        <fgColor rgb="002D6A4F"/>
      </patternFill>
    </fill>
    <fill>
      <patternFill patternType="solid">
        <fgColor rgb="001B4F72"/>
      </patternFill>
    </fill>
    <fill>
      <patternFill patternType="solid">
        <fgColor rgb="007D3C98"/>
      </patternFill>
    </fill>
    <fill>
      <patternFill patternType="solid">
        <fgColor rgb="00A04000"/>
      </patternFill>
    </fill>
    <fill>
      <patternFill patternType="solid">
        <fgColor rgb="00515A5A"/>
      </patternFill>
    </fill>
    <fill>
      <patternFill patternType="solid">
        <fgColor rgb="003D8B5A"/>
      </patternFill>
    </fill>
    <fill>
      <patternFill patternType="solid">
        <fgColor rgb="002471A3"/>
      </patternFill>
    </fill>
    <fill>
      <patternFill patternType="solid">
        <fgColor rgb="009B59B6"/>
      </patternFill>
    </fill>
    <fill>
      <patternFill patternType="solid">
        <fgColor rgb="00CA6F1E"/>
      </patternFill>
    </fill>
    <fill>
      <patternFill patternType="solid">
        <fgColor rgb="00717D7E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E74C3C"/>
      </patternFill>
    </fill>
    <fill>
      <patternFill patternType="solid">
        <fgColor rgb="00C0392B"/>
      </patternFill>
    </fill>
    <fill>
      <patternFill patternType="solid">
        <fgColor rgb="001A252F"/>
      </patternFill>
    </fill>
    <fill>
      <patternFill patternType="solid">
        <fgColor rgb="001B2631"/>
      </patternFill>
    </fill>
    <fill>
      <patternFill patternType="solid">
        <fgColor rgb="00154360"/>
      </patternFill>
    </fill>
    <fill>
      <patternFill patternType="solid">
        <fgColor rgb="006E2F00"/>
      </patternFill>
    </fill>
    <fill>
      <patternFill patternType="solid">
        <fgColor rgb="001D5E3E"/>
      </patternFill>
    </fill>
    <fill>
      <patternFill patternType="solid">
        <fgColor rgb="00273746"/>
      </patternFill>
    </fill>
    <fill>
      <patternFill patternType="solid">
        <fgColor rgb="00212F3D"/>
      </patternFill>
    </fill>
    <fill>
      <patternFill patternType="solid">
        <fgColor rgb="001A5276"/>
      </patternFill>
    </fill>
    <fill>
      <patternFill patternType="solid">
        <fgColor rgb="00784212"/>
      </patternFill>
    </fill>
    <fill>
      <patternFill patternType="solid">
        <fgColor rgb="00196F3D"/>
      </patternFill>
    </fill>
    <fill>
      <patternFill patternType="solid">
        <fgColor rgb="00F5F5F5"/>
      </patternFill>
    </fill>
    <fill>
      <patternFill patternType="solid">
        <fgColor rgb="00E8DAEF"/>
      </patternFill>
    </fill>
    <fill>
      <patternFill patternType="solid">
        <fgColor rgb="00F0F3F4"/>
      </patternFill>
    </fill>
    <fill>
      <patternFill patternType="solid">
        <fgColor rgb="FF1A1040"/>
      </patternFill>
    </fill>
    <fill>
      <patternFill patternType="solid">
        <fgColor rgb="FF0D0826"/>
      </patternFill>
    </fill>
    <fill>
      <patternFill patternType="solid">
        <fgColor rgb="FF3B82F6"/>
      </patternFill>
    </fill>
    <fill>
      <patternFill patternType="solid">
        <fgColor rgb="FF110D30"/>
      </patternFill>
    </fill>
    <fill>
      <patternFill patternType="solid">
        <fgColor rgb="FF8B5CF6"/>
      </patternFill>
    </fill>
    <fill>
      <patternFill patternType="solid">
        <fgColor rgb="FFEF4444"/>
      </patternFill>
    </fill>
    <fill>
      <patternFill patternType="solid">
        <fgColor rgb="001A1040"/>
      </patternFill>
    </fill>
    <fill>
      <patternFill patternType="solid">
        <fgColor rgb="000D0826"/>
      </patternFill>
    </fill>
    <fill>
      <patternFill patternType="solid">
        <fgColor rgb="003B82F6"/>
      </patternFill>
    </fill>
    <fill>
      <patternFill patternType="solid">
        <fgColor rgb="00110D30"/>
      </patternFill>
    </fill>
    <fill>
      <patternFill patternType="solid">
        <fgColor rgb="008B5CF6"/>
      </patternFill>
    </fill>
    <fill>
      <patternFill patternType="solid">
        <fgColor rgb="00F59E0B"/>
      </patternFill>
    </fill>
    <fill>
      <patternFill patternType="solid">
        <fgColor rgb="001A1A2E"/>
        <bgColor rgb="001A1A2E"/>
      </patternFill>
    </fill>
  </fills>
  <borders count="1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FF2D1B69"/>
      </left>
      <right style="thin">
        <color rgb="FF2D1B69"/>
      </right>
      <top style="thin">
        <color rgb="FF2D1B69"/>
      </top>
      <bottom style="thin">
        <color rgb="FF2D1B69"/>
      </bottom>
    </border>
    <border>
      <left style="thin">
        <color rgb="002D2150"/>
      </left>
      <right style="thin">
        <color rgb="002D2150"/>
      </right>
      <top style="thin">
        <color rgb="002D2150"/>
      </top>
      <bottom style="thin">
        <color rgb="002D2150"/>
      </bottom>
    </border>
    <border>
      <left/>
      <right/>
      <top style="thin">
        <color rgb="002D2150"/>
      </top>
      <bottom/>
      <diagonal/>
    </border>
    <border>
      <left/>
      <right style="thin">
        <color rgb="002D2150"/>
      </right>
      <top style="thin">
        <color rgb="002D2150"/>
      </top>
      <bottom/>
      <diagonal/>
    </border>
    <border>
      <left/>
      <right style="thin">
        <color rgb="002D2150"/>
      </right>
      <top style="thin">
        <color rgb="002D2150"/>
      </top>
      <bottom style="thin">
        <color rgb="002D2150"/>
      </bottom>
      <diagonal/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4" fillId="6" borderId="1" pivotButton="0" quotePrefix="0" xfId="0"/>
    <xf numFmtId="0" fontId="4" fillId="5" borderId="1" pivotButton="0" quotePrefix="0" xfId="0"/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left" vertical="center"/>
    </xf>
    <xf numFmtId="0" fontId="8" fillId="19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left" vertical="center"/>
    </xf>
    <xf numFmtId="0" fontId="8" fillId="22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left" vertical="center"/>
    </xf>
    <xf numFmtId="0" fontId="8" fillId="21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2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16" fillId="24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9" fillId="9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0" fillId="2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center" vertical="center" wrapText="1"/>
    </xf>
    <xf numFmtId="0" fontId="8" fillId="27" borderId="1" applyAlignment="1" pivotButton="0" quotePrefix="0" xfId="0">
      <alignment horizontal="left" vertical="center" wrapText="1"/>
    </xf>
    <xf numFmtId="0" fontId="12" fillId="27" borderId="1" applyAlignment="1" pivotButton="0" quotePrefix="0" xfId="0">
      <alignment horizontal="left" vertical="center" wrapText="1"/>
    </xf>
    <xf numFmtId="0" fontId="13" fillId="28" borderId="1" applyAlignment="1" pivotButton="0" quotePrefix="0" xfId="0">
      <alignment horizontal="center" vertical="center"/>
    </xf>
    <xf numFmtId="0" fontId="8" fillId="27" borderId="1" applyAlignment="1" pivotButton="0" quotePrefix="0" xfId="0">
      <alignment horizontal="center" vertical="center" wrapText="1"/>
    </xf>
    <xf numFmtId="0" fontId="14" fillId="27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left" vertical="center" wrapText="1"/>
    </xf>
    <xf numFmtId="0" fontId="12" fillId="21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left" vertical="center" wrapText="1"/>
    </xf>
    <xf numFmtId="0" fontId="11" fillId="29" borderId="1" applyAlignment="1" pivotButton="0" quotePrefix="0" xfId="0">
      <alignment horizontal="left" vertical="center" wrapText="1"/>
    </xf>
    <xf numFmtId="0" fontId="21" fillId="29" borderId="1" applyAlignment="1" pivotButton="0" quotePrefix="0" xfId="0">
      <alignment horizontal="left" vertical="center" wrapText="1"/>
    </xf>
    <xf numFmtId="0" fontId="22" fillId="29" borderId="1" applyAlignment="1" pivotButton="0" quotePrefix="0" xfId="0">
      <alignment horizontal="center" vertical="center"/>
    </xf>
    <xf numFmtId="0" fontId="8" fillId="29" borderId="1" applyAlignment="1" pivotButton="0" quotePrefix="0" xfId="0">
      <alignment horizontal="center" vertical="center" wrapText="1"/>
    </xf>
    <xf numFmtId="0" fontId="14" fillId="29" borderId="1" applyAlignment="1" pivotButton="0" quotePrefix="0" xfId="0">
      <alignment horizontal="left" vertical="center" wrapText="1"/>
    </xf>
    <xf numFmtId="0" fontId="21" fillId="17" borderId="1" applyAlignment="1" pivotButton="0" quotePrefix="0" xfId="0">
      <alignment horizontal="left" vertical="center" wrapText="1"/>
    </xf>
    <xf numFmtId="0" fontId="23" fillId="19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24" fillId="21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left" vertical="center" wrapText="1"/>
    </xf>
    <xf numFmtId="0" fontId="26" fillId="17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17" fillId="29" borderId="1" applyAlignment="1" pivotButton="0" quotePrefix="0" xfId="0">
      <alignment horizontal="center" vertical="center" wrapText="1"/>
    </xf>
    <xf numFmtId="0" fontId="18" fillId="21" borderId="1" applyAlignment="1" pivotButton="0" quotePrefix="0" xfId="0">
      <alignment horizontal="center" vertical="center" wrapText="1"/>
    </xf>
    <xf numFmtId="0" fontId="27" fillId="27" borderId="1" applyAlignment="1" pivotButton="0" quotePrefix="0" xfId="0">
      <alignment horizontal="center" vertical="center" wrapText="1"/>
    </xf>
    <xf numFmtId="0" fontId="25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left" vertical="center" wrapText="1"/>
    </xf>
    <xf numFmtId="0" fontId="28" fillId="19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center" vertical="center" wrapText="1"/>
    </xf>
    <xf numFmtId="0" fontId="27" fillId="27" borderId="1" applyAlignment="1" pivotButton="0" quotePrefix="0" xfId="0">
      <alignment horizontal="left" vertical="center" wrapText="1"/>
    </xf>
    <xf numFmtId="0" fontId="18" fillId="2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9" fillId="29" borderId="1" applyAlignment="1" pivotButton="0" quotePrefix="0" xfId="0">
      <alignment horizontal="left" vertical="center" wrapText="1"/>
    </xf>
    <xf numFmtId="0" fontId="30" fillId="29" borderId="1" applyAlignment="1" pivotButton="0" quotePrefix="0" xfId="0">
      <alignment horizontal="left" vertical="center" wrapText="1"/>
    </xf>
    <xf numFmtId="0" fontId="31" fillId="44" borderId="6" applyAlignment="1" pivotButton="0" quotePrefix="0" xfId="0">
      <alignment horizontal="center" vertical="center" wrapText="1"/>
    </xf>
    <xf numFmtId="0" fontId="31" fillId="45" borderId="6" applyAlignment="1" pivotButton="0" quotePrefix="0" xfId="0">
      <alignment horizontal="center" vertical="center" wrapText="1"/>
    </xf>
    <xf numFmtId="0" fontId="32" fillId="0" borderId="7" applyAlignment="1" pivotButton="0" quotePrefix="0" xfId="0">
      <alignment horizontal="center" vertical="center" wrapText="1"/>
    </xf>
    <xf numFmtId="0" fontId="31" fillId="46" borderId="0" applyAlignment="1" pivotButton="0" quotePrefix="0" xfId="0">
      <alignment horizontal="center" vertical="center"/>
    </xf>
    <xf numFmtId="0" fontId="31" fillId="47" borderId="0" applyAlignment="1" pivotButton="0" quotePrefix="0" xfId="0">
      <alignment horizontal="center" vertical="center"/>
    </xf>
    <xf numFmtId="0" fontId="31" fillId="48" borderId="0" applyAlignment="1" pivotButton="0" quotePrefix="0" xfId="0">
      <alignment horizontal="center" vertical="center"/>
    </xf>
    <xf numFmtId="0" fontId="31" fillId="49" borderId="0" applyAlignment="1" pivotButton="0" quotePrefix="0" xfId="0">
      <alignment horizontal="center" vertical="center"/>
    </xf>
    <xf numFmtId="0" fontId="31" fillId="50" borderId="0" applyAlignment="1" pivotButton="0" quotePrefix="0" xfId="0">
      <alignment horizontal="center" vertical="center"/>
    </xf>
    <xf numFmtId="0" fontId="31" fillId="34" borderId="0" applyAlignment="1" pivotButton="0" quotePrefix="0" xfId="0">
      <alignment horizontal="center" vertical="center"/>
    </xf>
    <xf numFmtId="0" fontId="31" fillId="51" borderId="6" applyAlignment="1" pivotButton="0" quotePrefix="0" xfId="0">
      <alignment horizontal="center" vertical="center" wrapText="1"/>
    </xf>
    <xf numFmtId="0" fontId="31" fillId="52" borderId="6" applyAlignment="1" pivotButton="0" quotePrefix="0" xfId="0">
      <alignment horizontal="center" vertical="center" wrapText="1"/>
    </xf>
    <xf numFmtId="0" fontId="31" fillId="53" borderId="6" applyAlignment="1" pivotButton="0" quotePrefix="0" xfId="0">
      <alignment horizontal="center" vertical="center" wrapText="1"/>
    </xf>
    <xf numFmtId="0" fontId="31" fillId="54" borderId="6" applyAlignment="1" pivotButton="0" quotePrefix="0" xfId="0">
      <alignment horizontal="center" vertical="center" wrapText="1"/>
    </xf>
    <xf numFmtId="0" fontId="31" fillId="55" borderId="6" applyAlignment="1" pivotButton="0" quotePrefix="0" xfId="0">
      <alignment horizontal="center" vertical="center" wrapText="1"/>
    </xf>
    <xf numFmtId="0" fontId="31" fillId="39" borderId="6" applyAlignment="1" pivotButton="0" quotePrefix="0" xfId="0">
      <alignment horizontal="center" vertical="center" wrapText="1"/>
    </xf>
    <xf numFmtId="0" fontId="32" fillId="56" borderId="7" applyAlignment="1" pivotButton="0" quotePrefix="0" xfId="0">
      <alignment horizontal="center" vertical="center" wrapText="1"/>
    </xf>
    <xf numFmtId="0" fontId="34" fillId="56" borderId="7" applyAlignment="1" pivotButton="0" quotePrefix="0" xfId="0">
      <alignment horizontal="center" vertical="center" wrapText="1"/>
    </xf>
    <xf numFmtId="0" fontId="32" fillId="56" borderId="7" applyAlignment="1" pivotButton="0" quotePrefix="0" xfId="0">
      <alignment horizontal="left" vertical="center" wrapText="1"/>
    </xf>
    <xf numFmtId="0" fontId="32" fillId="42" borderId="7" applyAlignment="1" pivotButton="0" quotePrefix="0" xfId="0">
      <alignment horizontal="center" vertical="center" wrapText="1"/>
    </xf>
    <xf numFmtId="0" fontId="35" fillId="42" borderId="7" applyAlignment="1" pivotButton="0" quotePrefix="0" xfId="0">
      <alignment horizontal="center" vertical="center" wrapText="1"/>
    </xf>
    <xf numFmtId="0" fontId="36" fillId="42" borderId="7" applyAlignment="1" pivotButton="0" quotePrefix="0" xfId="0">
      <alignment horizontal="left" vertical="center" wrapText="1"/>
    </xf>
    <xf numFmtId="0" fontId="32" fillId="42" borderId="7" applyAlignment="1" pivotButton="0" quotePrefix="0" xfId="0">
      <alignment horizontal="left" vertical="center" wrapText="1"/>
    </xf>
    <xf numFmtId="0" fontId="32" fillId="57" borderId="7" applyAlignment="1" pivotButton="0" quotePrefix="0" xfId="0">
      <alignment horizontal="center" vertical="center" wrapText="1"/>
    </xf>
    <xf numFmtId="0" fontId="37" fillId="57" borderId="7" applyAlignment="1" pivotButton="0" quotePrefix="0" xfId="0">
      <alignment horizontal="center" vertical="center" wrapText="1"/>
    </xf>
    <xf numFmtId="0" fontId="36" fillId="57" borderId="7" applyAlignment="1" pivotButton="0" quotePrefix="0" xfId="0">
      <alignment horizontal="left" vertical="center" wrapText="1"/>
    </xf>
    <xf numFmtId="0" fontId="32" fillId="57" borderId="7" applyAlignment="1" pivotButton="0" quotePrefix="0" xfId="0">
      <alignment horizontal="left" vertical="center" wrapText="1"/>
    </xf>
    <xf numFmtId="0" fontId="32" fillId="40" borderId="7" applyAlignment="1" pivotButton="0" quotePrefix="0" xfId="0">
      <alignment horizontal="center" vertical="center" wrapText="1"/>
    </xf>
    <xf numFmtId="0" fontId="38" fillId="40" borderId="7" applyAlignment="1" pivotButton="0" quotePrefix="0" xfId="0">
      <alignment horizontal="center" vertical="center" wrapText="1"/>
    </xf>
    <xf numFmtId="0" fontId="36" fillId="40" borderId="7" applyAlignment="1" pivotButton="0" quotePrefix="0" xfId="0">
      <alignment horizontal="left" vertical="center" wrapText="1"/>
    </xf>
    <xf numFmtId="0" fontId="32" fillId="40" borderId="7" applyAlignment="1" pivotButton="0" quotePrefix="0" xfId="0">
      <alignment horizontal="left" vertical="center" wrapText="1"/>
    </xf>
    <xf numFmtId="0" fontId="39" fillId="58" borderId="0" applyAlignment="1" pivotButton="0" quotePrefix="0" xfId="0">
      <alignment horizontal="left" vertical="center"/>
    </xf>
    <xf numFmtId="0" fontId="31" fillId="30" borderId="0" applyAlignment="1" pivotButton="0" quotePrefix="0" xfId="0">
      <alignment horizontal="center" vertical="center"/>
    </xf>
    <xf numFmtId="0" fontId="31" fillId="31" borderId="0" applyAlignment="1" pivotButton="0" quotePrefix="0" xfId="0">
      <alignment horizontal="center" vertical="center"/>
    </xf>
    <xf numFmtId="0" fontId="31" fillId="32" borderId="0" applyAlignment="1" pivotButton="0" quotePrefix="0" xfId="0">
      <alignment horizontal="center" vertical="center"/>
    </xf>
    <xf numFmtId="0" fontId="31" fillId="33" borderId="0" applyAlignment="1" pivotButton="0" quotePrefix="0" xfId="0">
      <alignment horizontal="center" vertical="center"/>
    </xf>
    <xf numFmtId="0" fontId="31" fillId="35" borderId="6" applyAlignment="1" pivotButton="0" quotePrefix="0" xfId="0">
      <alignment horizontal="center" vertical="center" wrapText="1"/>
    </xf>
    <xf numFmtId="0" fontId="31" fillId="36" borderId="6" applyAlignment="1" pivotButton="0" quotePrefix="0" xfId="0">
      <alignment horizontal="center" vertical="center" wrapText="1"/>
    </xf>
    <xf numFmtId="0" fontId="31" fillId="37" borderId="6" applyAlignment="1" pivotButton="0" quotePrefix="0" xfId="0">
      <alignment horizontal="center" vertical="center" wrapText="1"/>
    </xf>
    <xf numFmtId="0" fontId="31" fillId="38" borderId="6" applyAlignment="1" pivotButton="0" quotePrefix="0" xfId="0">
      <alignment horizontal="center" vertical="center" wrapText="1"/>
    </xf>
    <xf numFmtId="0" fontId="32" fillId="41" borderId="7" applyAlignment="1" pivotButton="0" quotePrefix="0" xfId="0">
      <alignment horizontal="center" vertical="center" wrapText="1"/>
    </xf>
    <xf numFmtId="0" fontId="32" fillId="41" borderId="7" applyAlignment="1" pivotButton="0" quotePrefix="0" xfId="0">
      <alignment horizontal="left" vertical="center" wrapText="1"/>
    </xf>
    <xf numFmtId="0" fontId="33" fillId="43" borderId="0" applyAlignment="1" pivotButton="0" quotePrefix="0" xfId="0">
      <alignment horizontal="left" vertical="center"/>
    </xf>
    <xf numFmtId="0" fontId="40" fillId="59" borderId="8" applyAlignment="1" pivotButton="0" quotePrefix="0" xfId="0">
      <alignment horizontal="center" vertical="center"/>
    </xf>
    <xf numFmtId="0" fontId="41" fillId="60" borderId="8" applyAlignment="1" pivotButton="0" quotePrefix="0" xfId="0">
      <alignment horizontal="center" vertical="center"/>
    </xf>
    <xf numFmtId="0" fontId="42" fillId="61" borderId="8" applyAlignment="1" pivotButton="0" quotePrefix="0" xfId="0">
      <alignment horizontal="center" vertical="center"/>
    </xf>
    <xf numFmtId="0" fontId="41" fillId="60" borderId="8" applyAlignment="1" pivotButton="0" quotePrefix="0" xfId="0">
      <alignment horizontal="left" vertical="center" wrapText="1"/>
    </xf>
    <xf numFmtId="0" fontId="41" fillId="62" borderId="8" applyAlignment="1" pivotButton="0" quotePrefix="0" xfId="0">
      <alignment horizontal="center" vertical="center"/>
    </xf>
    <xf numFmtId="0" fontId="41" fillId="62" borderId="8" applyAlignment="1" pivotButton="0" quotePrefix="0" xfId="0">
      <alignment horizontal="left" vertical="center" wrapText="1"/>
    </xf>
    <xf numFmtId="0" fontId="42" fillId="63" borderId="8" applyAlignment="1" pivotButton="0" quotePrefix="0" xfId="0">
      <alignment horizontal="center" vertical="center"/>
    </xf>
    <xf numFmtId="0" fontId="42" fillId="64" borderId="8" applyAlignment="1" pivotButton="0" quotePrefix="0" xfId="0">
      <alignment horizontal="center" vertical="center"/>
    </xf>
    <xf numFmtId="0" fontId="43" fillId="0" borderId="0" pivotButton="0" quotePrefix="0" xfId="0"/>
    <xf numFmtId="0" fontId="44" fillId="0" borderId="0" pivotButton="0" quotePrefix="0" xfId="0"/>
    <xf numFmtId="0" fontId="45" fillId="65" borderId="9" applyAlignment="1" pivotButton="0" quotePrefix="0" xfId="0">
      <alignment horizontal="center" vertical="center" wrapText="1"/>
    </xf>
    <xf numFmtId="0" fontId="46" fillId="66" borderId="9" applyAlignment="1" pivotButton="0" quotePrefix="0" xfId="0">
      <alignment horizontal="center" vertical="center" wrapText="1"/>
    </xf>
    <xf numFmtId="0" fontId="47" fillId="66" borderId="9" applyAlignment="1" pivotButton="0" quotePrefix="0" xfId="0">
      <alignment horizontal="left" vertical="center" wrapText="1"/>
    </xf>
    <xf numFmtId="0" fontId="48" fillId="66" borderId="9" applyAlignment="1" pivotButton="0" quotePrefix="0" xfId="0">
      <alignment horizontal="center" vertical="center" wrapText="1"/>
    </xf>
    <xf numFmtId="0" fontId="49" fillId="67" borderId="9" applyAlignment="1" pivotButton="0" quotePrefix="0" xfId="0">
      <alignment horizontal="center" vertical="center" wrapText="1"/>
    </xf>
    <xf numFmtId="0" fontId="48" fillId="66" borderId="9" applyAlignment="1" pivotButton="0" quotePrefix="0" xfId="0">
      <alignment horizontal="left" vertical="center" wrapText="1"/>
    </xf>
    <xf numFmtId="0" fontId="46" fillId="68" borderId="9" applyAlignment="1" pivotButton="0" quotePrefix="0" xfId="0">
      <alignment horizontal="center" vertical="center" wrapText="1"/>
    </xf>
    <xf numFmtId="0" fontId="47" fillId="68" borderId="9" applyAlignment="1" pivotButton="0" quotePrefix="0" xfId="0">
      <alignment horizontal="left" vertical="center" wrapText="1"/>
    </xf>
    <xf numFmtId="0" fontId="48" fillId="68" borderId="9" applyAlignment="1" pivotButton="0" quotePrefix="0" xfId="0">
      <alignment horizontal="center" vertical="center" wrapText="1"/>
    </xf>
    <xf numFmtId="0" fontId="48" fillId="68" borderId="9" applyAlignment="1" pivotButton="0" quotePrefix="0" xfId="0">
      <alignment horizontal="left" vertical="center" wrapText="1"/>
    </xf>
    <xf numFmtId="0" fontId="49" fillId="69" borderId="9" applyAlignment="1" pivotButton="0" quotePrefix="0" xfId="0">
      <alignment horizontal="center" vertical="center" wrapText="1"/>
    </xf>
    <xf numFmtId="0" fontId="49" fillId="70" borderId="9" applyAlignment="1" pivotButton="0" quotePrefix="0" xfId="0">
      <alignment horizontal="center" vertical="center" wrapText="1"/>
    </xf>
    <xf numFmtId="0" fontId="45" fillId="65" borderId="9" applyAlignment="1" pivotButton="0" quotePrefix="0" xfId="0">
      <alignment horizontal="left" vertical="center" indent="1"/>
    </xf>
    <xf numFmtId="0" fontId="50" fillId="68" borderId="9" applyAlignment="1" pivotButton="0" quotePrefix="0" xfId="0">
      <alignment horizontal="left" vertical="center" wrapText="1" indent="1"/>
    </xf>
    <xf numFmtId="0" fontId="48" fillId="68" borderId="9" applyAlignment="1" pivotButton="0" quotePrefix="0" xfId="0">
      <alignment horizontal="left" vertical="center" wrapText="1" indent="1"/>
    </xf>
    <xf numFmtId="0" fontId="50" fillId="66" borderId="9" applyAlignment="1" pivotButton="0" quotePrefix="0" xfId="0">
      <alignment horizontal="left" vertical="center" wrapText="1" indent="1"/>
    </xf>
    <xf numFmtId="0" fontId="48" fillId="66" borderId="9" applyAlignment="1" pivotButton="0" quotePrefix="0" xfId="0">
      <alignment horizontal="left" vertical="center" wrapText="1" indent="1"/>
    </xf>
    <xf numFmtId="0" fontId="51" fillId="71" borderId="0" applyAlignment="1" pivotButton="0" quotePrefix="0" xfId="0">
      <alignment horizontal="center" vertical="center" wrapText="1"/>
    </xf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55" customWidth="1" min="3" max="3"/>
    <col width="40" customWidth="1" min="4" max="4"/>
    <col width="55" customWidth="1" min="5" max="5"/>
  </cols>
  <sheetData>
    <row r="1" ht="40" customHeight="1">
      <c r="A1" s="1" t="inlineStr">
        <is>
          <t>🎮 FitQuest — Game Design Master Sheet</t>
        </is>
      </c>
    </row>
    <row r="2" ht="24" customHeight="1">
      <c r="A2" s="2" t="inlineStr">
        <is>
          <t>Ce fichier est ton outil de configuration du jeu. Remplis les onglets puis transmets-les à Claude pour un import automatique.</t>
        </is>
      </c>
    </row>
    <row r="4" ht="24" customHeight="1">
      <c r="A4" s="3" t="inlineStr">
        <is>
          <t>Onglet</t>
        </is>
      </c>
      <c r="B4" s="3" t="inlineStr">
        <is>
          <t>Contenu</t>
        </is>
      </c>
      <c r="C4" s="3" t="inlineStr">
        <is>
          <t>Colonnes obligatoires</t>
        </is>
      </c>
      <c r="D4" s="3" t="inlineStr">
        <is>
          <t>Colonnes optionnelles</t>
        </is>
      </c>
      <c r="E4" s="3" t="inlineStr">
        <is>
          <t>Règles importantes</t>
        </is>
      </c>
    </row>
    <row r="5" ht="36" customHeight="1">
      <c r="A5" s="4" t="inlineStr">
        <is>
          <t>🗺️ Zones</t>
        </is>
      </c>
      <c r="B5" s="5" t="inlineStr">
        <is>
          <t>Zones du monde (Forêt, Marais, Caverne…)</t>
        </is>
      </c>
      <c r="C5" s="5" t="inlineStr">
        <is>
          <t>id, name, element, levelMin, levelMax, requiredLevel</t>
        </is>
      </c>
      <c r="D5" s="5" t="inlineStr">
        <is>
          <t>travelKm, themeColor, accent, desc, svgKey</t>
        </is>
      </c>
      <c r="E5" s="5" t="inlineStr">
        <is>
          <t>Chaque zone doit avoir un regionalBossId qui existe dans l'onglet Boss</t>
        </is>
      </c>
    </row>
    <row r="6" ht="36" customHeight="1">
      <c r="A6" s="6" t="inlineStr">
        <is>
          <t>👾 Boss</t>
        </is>
      </c>
      <c r="B6" s="7" t="inlineStr">
        <is>
          <t>Tous les ennemis &amp; boss régionaux</t>
        </is>
      </c>
      <c r="C6" s="7" t="inlineStr">
        <is>
          <t>id, name, level, rarity, type, element, hp_max, attack, defense, gold, xp, region</t>
        </is>
      </c>
      <c r="D6" s="7" t="inlineStr">
        <is>
          <t>isRegionalBoss, drops (1-3 drops max)</t>
        </is>
      </c>
      <c r="E6" s="7" t="inlineStr">
        <is>
          <t>id doit être unique. isRegionalBoss = TRUE/FALSE. drops_X_chance entre 0 et 1</t>
        </is>
      </c>
    </row>
    <row r="7" ht="36" customHeight="1">
      <c r="A7" s="4" t="inlineStr">
        <is>
          <t>⚔️ Armes</t>
        </is>
      </c>
      <c r="B7" s="5" t="inlineStr">
        <is>
          <t>Armes équipables par le joueur</t>
        </is>
      </c>
      <c r="C7" s="5" t="inlineStr">
        <is>
          <t>id, name, rarity, slot</t>
        </is>
      </c>
      <c r="D7" s="5" t="inlineStr">
        <is>
          <t>icon, desc, stats_force, stats_agility, stats_constitution, stats_defense</t>
        </is>
      </c>
      <c r="E7" s="5" t="inlineStr">
        <is>
          <t>slot doit être dans la liste Référence. stats = bonus de combat</t>
        </is>
      </c>
    </row>
    <row r="8" ht="36" customHeight="1">
      <c r="A8" s="6" t="inlineStr">
        <is>
          <t>🔮 Sorts</t>
        </is>
      </c>
      <c r="B8" s="7" t="inlineStr">
        <is>
          <t>Sorts utilisables en combat</t>
        </is>
      </c>
      <c r="C8" s="7" t="inlineStr">
        <is>
          <t>id, name, element, manaCost, effect, value</t>
        </is>
      </c>
      <c r="D8" s="7" t="inlineStr">
        <is>
          <t>icon, oncePerCombat, desc</t>
        </is>
      </c>
      <c r="E8" s="7" t="inlineStr">
        <is>
          <t>effect doit être dans la liste Référence. value = puissance du sort</t>
        </is>
      </c>
    </row>
    <row r="9" ht="36" customHeight="1">
      <c r="A9" s="4" t="inlineStr">
        <is>
          <t>🔨 Recettes Forgeron</t>
        </is>
      </c>
      <c r="B9" s="5" t="inlineStr">
        <is>
          <t>Recettes de fabrication d'armes</t>
        </is>
      </c>
      <c r="C9" s="5" t="inlineStr">
        <is>
          <t>weaponId, gold</t>
        </is>
      </c>
      <c r="D9" s="5" t="inlineStr">
        <is>
          <t>mat1_id → mat3_id, mat1_qty → mat3_qty</t>
        </is>
      </c>
      <c r="E9" s="5" t="inlineStr">
        <is>
          <t>weaponId doit exister dans l'onglet Armes. Les materials IDs dans Matériaux</t>
        </is>
      </c>
    </row>
    <row r="10" ht="36" customHeight="1">
      <c r="A10" s="6" t="inlineStr">
        <is>
          <t>🧪 Recettes Sorcière</t>
        </is>
      </c>
      <c r="B10" s="7" t="inlineStr">
        <is>
          <t>Potions et objets magiques craftables</t>
        </is>
      </c>
      <c r="C10" s="7" t="inlineStr">
        <is>
          <t>id, name, rarity, effect, gold</t>
        </is>
      </c>
      <c r="D10" s="7" t="inlineStr">
        <is>
          <t>icon, desc, ing1_id → ing2_id, ing1_qty → ing2_qty</t>
        </is>
      </c>
      <c r="E10" s="7" t="inlineStr">
        <is>
          <t>Les ingredient IDs doivent exister dans l'onglet Ingrédients</t>
        </is>
      </c>
    </row>
    <row r="11" ht="36" customHeight="1">
      <c r="A11" s="4" t="inlineStr">
        <is>
          <t>🪨 Matériaux</t>
        </is>
      </c>
      <c r="B11" s="5" t="inlineStr">
        <is>
          <t>Matières premières droppées par les boss</t>
        </is>
      </c>
      <c r="C11" s="5" t="inlineStr">
        <is>
          <t>id, name, rarity</t>
        </is>
      </c>
      <c r="D11" s="5" t="inlineStr">
        <is>
          <t>icon, desc</t>
        </is>
      </c>
      <c r="E11" s="5" t="inlineStr">
        <is>
          <t>id utilisé dans les drops (Boss) et recettes (Forgeron)</t>
        </is>
      </c>
    </row>
    <row r="12" ht="36" customHeight="1">
      <c r="A12" s="6" t="inlineStr">
        <is>
          <t>🌿 Ingrédients</t>
        </is>
      </c>
      <c r="B12" s="7" t="inlineStr">
        <is>
          <t>Ingrédients pour potions et recettes</t>
        </is>
      </c>
      <c r="C12" s="7" t="inlineStr">
        <is>
          <t>id, name, rarity</t>
        </is>
      </c>
      <c r="D12" s="7" t="inlineStr">
        <is>
          <t>icon, desc</t>
        </is>
      </c>
      <c r="E12" s="7" t="inlineStr">
        <is>
          <t>id utilisé dans les drops (Boss) et recettes (Sorcière)</t>
        </is>
      </c>
    </row>
    <row r="13" ht="36" customHeight="1">
      <c r="A13" s="4" t="inlineStr">
        <is>
          <t>📊 Référence</t>
        </is>
      </c>
      <c r="B13" s="5" t="inlineStr">
        <is>
          <t>Valeurs valides pour toutes les listes</t>
        </is>
      </c>
      <c r="C13" s="5" t="inlineStr">
        <is>
          <t>—</t>
        </is>
      </c>
      <c r="D13" s="5" t="inlineStr">
        <is>
          <t>—</t>
        </is>
      </c>
      <c r="E13" s="5" t="inlineStr">
        <is>
          <t>NE PAS MODIFIER cet onglet — utilisé pour les validations de données</t>
        </is>
      </c>
    </row>
    <row r="15" ht="30" customHeight="1">
      <c r="A15" s="8" t="inlineStr">
        <is>
          <t>🔁  WORKFLOW : 1) Configurer les onglets  →  2) Envoyer le fichier à Claude  →  3) Import automatique dans src/data/</t>
        </is>
      </c>
    </row>
    <row r="17" ht="22" customHeight="1">
      <c r="A17" s="9" t="inlineStr">
        <is>
          <t>💡 LÉGENDE DES COULEURS :   Fond vert pâle = valeur optionnelle   |   Fond jaune = attention, valeur importante   |   Fond bleu = liste déroulante</t>
        </is>
      </c>
    </row>
  </sheetData>
  <mergeCells count="4">
    <mergeCell ref="A15:H15"/>
    <mergeCell ref="A2:H2"/>
    <mergeCell ref="A17:H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0" customWidth="1" min="4" max="4"/>
    <col width="10" customWidth="1" min="5" max="5"/>
    <col width="13" customWidth="1" min="6" max="6"/>
    <col width="20" customWidth="1" min="7" max="7"/>
    <col width="20" customWidth="1" min="8" max="8"/>
    <col width="10" customWidth="1" min="9" max="9"/>
    <col width="12" customWidth="1" min="10" max="10"/>
    <col width="14" customWidth="1" min="11" max="11"/>
    <col width="14" customWidth="1" min="12" max="12"/>
    <col width="40" customWidth="1" min="13" max="13"/>
    <col width="14" customWidth="1" min="14" max="14"/>
  </cols>
  <sheetData>
    <row r="1" ht="36" customHeight="1">
      <c r="A1" s="10" t="inlineStr">
        <is>
          <t>Identifiant unique
(ex: foret)</t>
        </is>
      </c>
      <c r="B1" s="10" t="inlineStr">
        <is>
          <t>Nom affiché
(ex: Forêt de Débutant)</t>
        </is>
      </c>
      <c r="C1" s="10" t="inlineStr">
        <is>
          <t>Élément dominant
(fire/wind/water…)</t>
        </is>
      </c>
      <c r="D1" s="10" t="inlineStr">
        <is>
          <t>Niveau min
des boss</t>
        </is>
      </c>
      <c r="E1" s="10" t="inlineStr">
        <is>
          <t>Niveau max
des boss</t>
        </is>
      </c>
      <c r="F1" s="10" t="inlineStr">
        <is>
          <t>Niveau joueur
requis pour entrer</t>
        </is>
      </c>
      <c r="G1" s="10" t="inlineStr">
        <is>
          <t>ID boss régional
à vaincre avant</t>
        </is>
      </c>
      <c r="H1" s="10" t="inlineStr">
        <is>
          <t>ID du boss
régional de cette zone</t>
        </is>
      </c>
      <c r="I1" s="3" t="inlineStr">
        <is>
          <t>Distance
(km) pour voyager</t>
        </is>
      </c>
      <c r="J1" s="3" t="inlineStr">
        <is>
          <t>Coût en
pas pour entrer</t>
        </is>
      </c>
      <c r="K1" s="3" t="inlineStr">
        <is>
          <t>Couleur principale
(#hex)</t>
        </is>
      </c>
      <c r="L1" s="3" t="inlineStr">
        <is>
          <t>Couleur accent
(#hex)</t>
        </is>
      </c>
      <c r="M1" s="3" t="inlineStr">
        <is>
          <t>Description affichée
au joueur</t>
        </is>
      </c>
      <c r="N1" s="3" t="inlineStr">
        <is>
          <t>Clé du fond SVG
(forest/swamp/crystal…)</t>
        </is>
      </c>
    </row>
    <row r="2">
      <c r="A2" s="22" t="inlineStr">
        <is>
          <t>foret</t>
        </is>
      </c>
      <c r="B2" s="22" t="inlineStr">
        <is>
          <t>Forêt de Débutant</t>
        </is>
      </c>
      <c r="C2" s="22" t="inlineStr">
        <is>
          <t>wind</t>
        </is>
      </c>
      <c r="D2" s="23" t="n">
        <v>1</v>
      </c>
      <c r="E2" s="23" t="n">
        <v>15</v>
      </c>
      <c r="F2" s="23" t="n">
        <v>1</v>
      </c>
      <c r="G2" s="22" t="inlineStr"/>
      <c r="H2" s="22" t="inlineStr">
        <is>
          <t>wolf_king</t>
        </is>
      </c>
      <c r="I2" s="23" t="n">
        <v>0</v>
      </c>
      <c r="J2" s="23" t="n">
        <v>0</v>
      </c>
      <c r="K2" s="22" t="inlineStr">
        <is>
          <t>#22c55e</t>
        </is>
      </c>
      <c r="L2" s="22" t="inlineStr">
        <is>
          <t>#86efac</t>
        </is>
      </c>
      <c r="M2" s="22" t="inlineStr">
        <is>
          <t>Une forêt sombre et silencieuse. Les sentiers serpentent entre des arbres millénaires.</t>
        </is>
      </c>
      <c r="N2" s="22" t="inlineStr">
        <is>
          <t>forest</t>
        </is>
      </c>
    </row>
    <row r="3">
      <c r="A3" s="17" t="inlineStr">
        <is>
          <t>marais</t>
        </is>
      </c>
      <c r="B3" s="17" t="inlineStr">
        <is>
          <t>Marais des Ombres</t>
        </is>
      </c>
      <c r="C3" s="17" t="inlineStr">
        <is>
          <t>dark</t>
        </is>
      </c>
      <c r="D3" s="18" t="n">
        <v>16</v>
      </c>
      <c r="E3" s="18" t="n">
        <v>30</v>
      </c>
      <c r="F3" s="18" t="n">
        <v>12</v>
      </c>
      <c r="G3" s="17" t="inlineStr">
        <is>
          <t>wolf_king</t>
        </is>
      </c>
      <c r="H3" s="17" t="inlineStr">
        <is>
          <t>corrupted_dryad</t>
        </is>
      </c>
      <c r="I3" s="18" t="n">
        <v>2</v>
      </c>
      <c r="J3" s="18" t="n">
        <v>0</v>
      </c>
      <c r="K3" s="17" t="inlineStr">
        <is>
          <t>#a855f7</t>
        </is>
      </c>
      <c r="L3" s="17" t="inlineStr">
        <is>
          <t>#c084fc</t>
        </is>
      </c>
      <c r="M3" s="17" t="inlineStr">
        <is>
          <t>Brume violette et eaux stagnantes. Les ombres grouillent dans les roseaux.</t>
        </is>
      </c>
      <c r="N3" s="17" t="inlineStr">
        <is>
          <t>swamp</t>
        </is>
      </c>
    </row>
    <row r="4">
      <c r="A4" s="22" t="inlineStr">
        <is>
          <t>caverne</t>
        </is>
      </c>
      <c r="B4" s="22" t="inlineStr">
        <is>
          <t>Caverne de Cristal</t>
        </is>
      </c>
      <c r="C4" s="22" t="inlineStr">
        <is>
          <t>water</t>
        </is>
      </c>
      <c r="D4" s="23" t="n">
        <v>31</v>
      </c>
      <c r="E4" s="23" t="n">
        <v>50</v>
      </c>
      <c r="F4" s="23" t="n">
        <v>28</v>
      </c>
      <c r="G4" s="22" t="inlineStr">
        <is>
          <t>corrupted_dryad</t>
        </is>
      </c>
      <c r="H4" s="22" t="inlineStr"/>
      <c r="I4" s="23" t="n">
        <v>5</v>
      </c>
      <c r="J4" s="23" t="n">
        <v>0</v>
      </c>
      <c r="K4" s="22" t="inlineStr">
        <is>
          <t>#22d3ee</t>
        </is>
      </c>
      <c r="L4" s="22" t="inlineStr">
        <is>
          <t>#67e8f9</t>
        </is>
      </c>
      <c r="M4" s="22" t="inlineStr">
        <is>
          <t>Profondeurs scintillantes. Les cristaux résonnent d'une magie ancienne.</t>
        </is>
      </c>
      <c r="N4" s="22" t="inlineStr">
        <is>
          <t>crystal</t>
        </is>
      </c>
    </row>
  </sheetData>
  <dataValidations count="1">
    <dataValidation sqref="C2:C100" showDropDown="0" showInputMessage="0" showErrorMessage="1" allowBlank="1" errorTitle="Valeur invalide" error="Valeur non valide" type="list">
      <formula1>"fire,wind,water,dark,holy,earth,ice"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A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13" customWidth="1" min="4" max="4"/>
    <col width="14" customWidth="1" min="5" max="5"/>
    <col width="12" customWidth="1" min="6" max="6"/>
    <col width="18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38" customWidth="1" min="13" max="13"/>
    <col width="12" customWidth="1" min="14" max="14"/>
    <col width="10" customWidth="1" min="15" max="15"/>
    <col width="12" customWidth="1" min="16" max="16"/>
    <col width="16" customWidth="1" min="17" max="17"/>
    <col width="11" customWidth="1" min="18" max="18"/>
    <col width="9" customWidth="1" min="19" max="19"/>
    <col width="9" customWidth="1" min="20" max="20"/>
    <col width="12" customWidth="1" min="21" max="21"/>
    <col width="16" customWidth="1" min="22" max="22"/>
    <col width="11" customWidth="1" min="23" max="23"/>
    <col width="9" customWidth="1" min="24" max="24"/>
    <col width="9" customWidth="1" min="25" max="25"/>
    <col width="12" customWidth="1" min="26" max="26"/>
    <col width="16" customWidth="1" min="27" max="27"/>
    <col width="11" customWidth="1" min="28" max="28"/>
    <col width="9" customWidth="1" min="29" max="29"/>
    <col width="9" customWidth="1" min="30" max="30"/>
    <col width="14" customWidth="1" min="31" max="31"/>
    <col width="14" customWidth="1" min="32" max="32"/>
    <col width="14" customWidth="1" min="33" max="33"/>
  </cols>
  <sheetData>
    <row r="1" ht="40" customHeight="1">
      <c r="A1" s="10" t="inlineStr">
        <is>
          <t>Identifiant unique
(snake_case)</t>
        </is>
      </c>
      <c r="B1" s="10" t="inlineStr">
        <is>
          <t>Nom affiché
(français)</t>
        </is>
      </c>
      <c r="C1" s="10" t="inlineStr">
        <is>
          <t>Niveau
du boss</t>
        </is>
      </c>
      <c r="D1" s="10" t="inlineStr">
        <is>
          <t>Rareté
(common→legendary)</t>
        </is>
      </c>
      <c r="E1" s="10" t="inlineStr">
        <is>
          <t>Type physique
(force/agility/endurance)</t>
        </is>
      </c>
      <c r="F1" s="10" t="inlineStr">
        <is>
          <t>Élément
(fire/wind…)</t>
        </is>
      </c>
      <c r="G1" s="10" t="inlineStr">
        <is>
          <t>Clé icône
(game-icons.net)</t>
        </is>
      </c>
      <c r="H1" s="11" t="inlineStr">
        <is>
          <t>PV
maximum</t>
        </is>
      </c>
      <c r="I1" s="11" t="inlineStr">
        <is>
          <t>Attaque
(dégâts/tour)</t>
        </is>
      </c>
      <c r="J1" s="11" t="inlineStr">
        <is>
          <t>Défense
(réduction)</t>
        </is>
      </c>
      <c r="K1" s="11" t="inlineStr">
        <is>
          <t>Or gagné
(victoire)</t>
        </is>
      </c>
      <c r="L1" s="11" t="inlineStr">
        <is>
          <t>XP gagné
(victoire)</t>
        </is>
      </c>
      <c r="M1" s="3" t="inlineStr">
        <is>
          <t>Description
affichée</t>
        </is>
      </c>
      <c r="N1" s="3" t="inlineStr">
        <is>
          <t>Région
(foret/marais…)</t>
        </is>
      </c>
      <c r="O1" s="3" t="inlineStr">
        <is>
          <t>Boss
régional ?</t>
        </is>
      </c>
      <c r="P1" s="12" t="inlineStr">
        <is>
          <t>Drop 1
Type</t>
        </is>
      </c>
      <c r="Q1" s="12" t="inlineStr">
        <is>
          <t>Drop 1
ID</t>
        </is>
      </c>
      <c r="R1" s="12" t="inlineStr">
        <is>
          <t>Drop 1
Chance (0-1)</t>
        </is>
      </c>
      <c r="S1" s="12" t="inlineStr">
        <is>
          <t>Drop 1
Qté min</t>
        </is>
      </c>
      <c r="T1" s="12" t="inlineStr">
        <is>
          <t>Drop 1
Qté max</t>
        </is>
      </c>
      <c r="U1" s="13" t="inlineStr">
        <is>
          <t>Drop 2
Type</t>
        </is>
      </c>
      <c r="V1" s="13" t="inlineStr">
        <is>
          <t>Drop 2
ID</t>
        </is>
      </c>
      <c r="W1" s="13" t="inlineStr">
        <is>
          <t>Drop 2
Chance (0-1)</t>
        </is>
      </c>
      <c r="X1" s="13" t="inlineStr">
        <is>
          <t>Drop 2
Qté min</t>
        </is>
      </c>
      <c r="Y1" s="13" t="inlineStr">
        <is>
          <t>Drop 2
Qté max</t>
        </is>
      </c>
      <c r="Z1" s="14" t="inlineStr">
        <is>
          <t>Drop 3
Type</t>
        </is>
      </c>
      <c r="AA1" s="14" t="inlineStr">
        <is>
          <t>Drop 3
ID</t>
        </is>
      </c>
      <c r="AB1" s="14" t="inlineStr">
        <is>
          <t>Drop 3
Chance (0-1)</t>
        </is>
      </c>
      <c r="AC1" s="14" t="inlineStr">
        <is>
          <t>Drop 3
Qté min</t>
        </is>
      </c>
      <c r="AD1" s="14" t="inlineStr">
        <is>
          <t>Drop 3
Qté max</t>
        </is>
      </c>
      <c r="AE1" s="112" t="inlineStr">
        <is>
          <t>Taux d'appari-
tion (0-1)</t>
        </is>
      </c>
      <c r="AF1" s="113" t="inlineStr">
        <is>
          <t>Niveau joueur
minimum</t>
        </is>
      </c>
      <c r="AG1" s="113" t="inlineStr">
        <is>
          <t>Niveau joueur
maximum</t>
        </is>
      </c>
    </row>
    <row r="2">
      <c r="A2" s="15" t="inlineStr">
        <is>
          <t>forest_rat</t>
        </is>
      </c>
      <c r="B2" s="15" t="inlineStr">
        <is>
          <t>Rat des Bois</t>
        </is>
      </c>
      <c r="C2" s="16" t="n">
        <v>1</v>
      </c>
      <c r="D2" s="15" t="inlineStr">
        <is>
          <t>common</t>
        </is>
      </c>
      <c r="E2" s="15" t="inlineStr">
        <is>
          <t>agility</t>
        </is>
      </c>
      <c r="F2" s="15" t="inlineStr">
        <is>
          <t>wind</t>
        </is>
      </c>
      <c r="G2" s="15" t="inlineStr">
        <is>
          <t>rat</t>
        </is>
      </c>
      <c r="H2" s="16" t="n">
        <v>45</v>
      </c>
      <c r="I2" s="16" t="n">
        <v>22</v>
      </c>
      <c r="J2" s="16" t="n">
        <v>1</v>
      </c>
      <c r="K2" s="16" t="n">
        <v>8</v>
      </c>
      <c r="L2" s="16" t="n">
        <v>50</v>
      </c>
      <c r="M2" s="15" t="inlineStr">
        <is>
          <t>Un rongeur agressif aux dents acérées.</t>
        </is>
      </c>
      <c r="N2" s="15" t="inlineStr">
        <is>
          <t>foret</t>
        </is>
      </c>
      <c r="O2" s="15" t="b">
        <v>0</v>
      </c>
      <c r="P2" s="15" t="inlineStr">
        <is>
          <t>material</t>
        </is>
      </c>
      <c r="Q2" s="15" t="inlineStr">
        <is>
          <t>wood_dark</t>
        </is>
      </c>
      <c r="R2" s="16" t="n">
        <v>0.5</v>
      </c>
      <c r="S2" s="16" t="n">
        <v>1</v>
      </c>
      <c r="T2" s="16" t="n">
        <v>1</v>
      </c>
      <c r="U2" s="15" t="inlineStr">
        <is>
          <t>ingredient</t>
        </is>
      </c>
      <c r="V2" s="15" t="inlineStr">
        <is>
          <t>moon_herb</t>
        </is>
      </c>
      <c r="W2" s="16" t="n">
        <v>0.2</v>
      </c>
      <c r="X2" s="16" t="n">
        <v>1</v>
      </c>
      <c r="Y2" s="16" t="n">
        <v>1</v>
      </c>
      <c r="Z2" s="15" t="n"/>
      <c r="AA2" s="15" t="n"/>
      <c r="AB2" s="16" t="n">
        <v>0</v>
      </c>
      <c r="AC2" s="16" t="n">
        <v>0</v>
      </c>
      <c r="AD2" s="16" t="n">
        <v>0</v>
      </c>
      <c r="AE2" s="114" t="n">
        <v>0.7</v>
      </c>
      <c r="AF2" s="114" t="n">
        <v>1</v>
      </c>
      <c r="AG2" s="114" t="n">
        <v>10</v>
      </c>
    </row>
    <row r="3">
      <c r="A3" s="17" t="inlineStr">
        <is>
          <t>goblin_woods</t>
        </is>
      </c>
      <c r="B3" s="17" t="inlineStr">
        <is>
          <t>Gobelin du Bois</t>
        </is>
      </c>
      <c r="C3" s="18" t="n">
        <v>2</v>
      </c>
      <c r="D3" s="17" t="inlineStr">
        <is>
          <t>common</t>
        </is>
      </c>
      <c r="E3" s="17" t="inlineStr">
        <is>
          <t>agility</t>
        </is>
      </c>
      <c r="F3" s="17" t="inlineStr">
        <is>
          <t>wind</t>
        </is>
      </c>
      <c r="G3" s="17" t="inlineStr">
        <is>
          <t>goblin-head</t>
        </is>
      </c>
      <c r="H3" s="18" t="n">
        <v>80</v>
      </c>
      <c r="I3" s="18" t="n">
        <v>25</v>
      </c>
      <c r="J3" s="18" t="n">
        <v>3</v>
      </c>
      <c r="K3" s="18" t="n">
        <v>12</v>
      </c>
      <c r="L3" s="18" t="n">
        <v>80</v>
      </c>
      <c r="M3" s="17" t="inlineStr">
        <is>
          <t>Petit, fourbe et puant.</t>
        </is>
      </c>
      <c r="N3" s="17" t="inlineStr">
        <is>
          <t>foret</t>
        </is>
      </c>
      <c r="O3" s="17" t="b">
        <v>0</v>
      </c>
      <c r="P3" s="17" t="inlineStr">
        <is>
          <t>material</t>
        </is>
      </c>
      <c r="Q3" s="17" t="inlineStr">
        <is>
          <t>wood_dark</t>
        </is>
      </c>
      <c r="R3" s="18" t="n">
        <v>0.7</v>
      </c>
      <c r="S3" s="18" t="n">
        <v>1</v>
      </c>
      <c r="T3" s="18" t="n">
        <v>2</v>
      </c>
      <c r="U3" s="17" t="inlineStr">
        <is>
          <t>ingredient</t>
        </is>
      </c>
      <c r="V3" s="17" t="inlineStr">
        <is>
          <t>moon_herb</t>
        </is>
      </c>
      <c r="W3" s="18" t="n">
        <v>0.3</v>
      </c>
      <c r="X3" s="18" t="n">
        <v>1</v>
      </c>
      <c r="Y3" s="18" t="n">
        <v>1</v>
      </c>
      <c r="Z3" s="17" t="n"/>
      <c r="AA3" s="17" t="n"/>
      <c r="AB3" s="18" t="n">
        <v>0</v>
      </c>
      <c r="AC3" s="18" t="n">
        <v>0</v>
      </c>
      <c r="AD3" s="18" t="n">
        <v>0</v>
      </c>
      <c r="AE3" s="114" t="n">
        <v>0.65</v>
      </c>
      <c r="AF3" s="114" t="n">
        <v>1</v>
      </c>
      <c r="AG3" s="114" t="n">
        <v>12</v>
      </c>
    </row>
    <row r="4">
      <c r="A4" s="15" t="inlineStr">
        <is>
          <t>giant_spider</t>
        </is>
      </c>
      <c r="B4" s="15" t="inlineStr">
        <is>
          <t>Araignée Géante</t>
        </is>
      </c>
      <c r="C4" s="16" t="n">
        <v>3</v>
      </c>
      <c r="D4" s="15" t="inlineStr">
        <is>
          <t>common</t>
        </is>
      </c>
      <c r="E4" s="15" t="inlineStr">
        <is>
          <t>agility</t>
        </is>
      </c>
      <c r="F4" s="15" t="inlineStr">
        <is>
          <t>dark</t>
        </is>
      </c>
      <c r="G4" s="15" t="inlineStr">
        <is>
          <t>spider-face</t>
        </is>
      </c>
      <c r="H4" s="16" t="n">
        <v>100</v>
      </c>
      <c r="I4" s="16" t="n">
        <v>27</v>
      </c>
      <c r="J4" s="16" t="n">
        <v>2</v>
      </c>
      <c r="K4" s="16" t="n">
        <v>15</v>
      </c>
      <c r="L4" s="16" t="n">
        <v>100</v>
      </c>
      <c r="M4" s="15" t="inlineStr">
        <is>
          <t>Ses crochets sécrètent un venin paralysant.</t>
        </is>
      </c>
      <c r="N4" s="15" t="inlineStr">
        <is>
          <t>foret</t>
        </is>
      </c>
      <c r="O4" s="15" t="b">
        <v>0</v>
      </c>
      <c r="P4" s="15" t="inlineStr">
        <is>
          <t>material</t>
        </is>
      </c>
      <c r="Q4" s="15" t="inlineStr">
        <is>
          <t>wood_dark</t>
        </is>
      </c>
      <c r="R4" s="16" t="n">
        <v>0.5</v>
      </c>
      <c r="S4" s="16" t="n">
        <v>1</v>
      </c>
      <c r="T4" s="16" t="n">
        <v>2</v>
      </c>
      <c r="U4" s="15" t="inlineStr">
        <is>
          <t>ingredient</t>
        </is>
      </c>
      <c r="V4" s="15" t="inlineStr">
        <is>
          <t>moon_herb</t>
        </is>
      </c>
      <c r="W4" s="16" t="n">
        <v>0.4</v>
      </c>
      <c r="X4" s="16" t="n">
        <v>1</v>
      </c>
      <c r="Y4" s="16" t="n">
        <v>1</v>
      </c>
      <c r="Z4" s="15" t="n"/>
      <c r="AA4" s="15" t="n"/>
      <c r="AB4" s="16" t="n">
        <v>0</v>
      </c>
      <c r="AC4" s="16" t="n">
        <v>0</v>
      </c>
      <c r="AD4" s="16" t="n">
        <v>0</v>
      </c>
      <c r="AE4" s="114" t="n">
        <v>0.6</v>
      </c>
      <c r="AF4" s="114" t="n">
        <v>2</v>
      </c>
      <c r="AG4" s="114" t="n">
        <v>13</v>
      </c>
    </row>
    <row r="5">
      <c r="A5" s="17" t="inlineStr">
        <is>
          <t>forest_bat</t>
        </is>
      </c>
      <c r="B5" s="17" t="inlineStr">
        <is>
          <t>Chauve-Souris Géante</t>
        </is>
      </c>
      <c r="C5" s="18" t="n">
        <v>4</v>
      </c>
      <c r="D5" s="17" t="inlineStr">
        <is>
          <t>common</t>
        </is>
      </c>
      <c r="E5" s="17" t="inlineStr">
        <is>
          <t>agility</t>
        </is>
      </c>
      <c r="F5" s="17" t="inlineStr">
        <is>
          <t>dark</t>
        </is>
      </c>
      <c r="G5" s="17" t="inlineStr">
        <is>
          <t>bat</t>
        </is>
      </c>
      <c r="H5" s="18" t="n">
        <v>115</v>
      </c>
      <c r="I5" s="18" t="n">
        <v>30</v>
      </c>
      <c r="J5" s="18" t="n">
        <v>2</v>
      </c>
      <c r="K5" s="18" t="n">
        <v>18</v>
      </c>
      <c r="L5" s="18" t="n">
        <v>120</v>
      </c>
      <c r="M5" s="17" t="inlineStr">
        <is>
          <t>Ses ultrasons désorientent les aventuriers.</t>
        </is>
      </c>
      <c r="N5" s="17" t="inlineStr">
        <is>
          <t>foret</t>
        </is>
      </c>
      <c r="O5" s="17" t="b">
        <v>0</v>
      </c>
      <c r="P5" s="17" t="inlineStr">
        <is>
          <t>material</t>
        </is>
      </c>
      <c r="Q5" s="17" t="inlineStr">
        <is>
          <t>wood_dark</t>
        </is>
      </c>
      <c r="R5" s="18" t="n">
        <v>0.6</v>
      </c>
      <c r="S5" s="18" t="n">
        <v>1</v>
      </c>
      <c r="T5" s="18" t="n">
        <v>2</v>
      </c>
      <c r="U5" s="17" t="inlineStr">
        <is>
          <t>ingredient</t>
        </is>
      </c>
      <c r="V5" s="17" t="inlineStr">
        <is>
          <t>moon_herb</t>
        </is>
      </c>
      <c r="W5" s="18" t="n">
        <v>0.3</v>
      </c>
      <c r="X5" s="18" t="n">
        <v>1</v>
      </c>
      <c r="Y5" s="18" t="n">
        <v>1</v>
      </c>
      <c r="Z5" s="17" t="n"/>
      <c r="AA5" s="17" t="n"/>
      <c r="AB5" s="18" t="n">
        <v>0</v>
      </c>
      <c r="AC5" s="18" t="n">
        <v>0</v>
      </c>
      <c r="AD5" s="18" t="n">
        <v>0</v>
      </c>
      <c r="AE5" s="114" t="n">
        <v>0.6</v>
      </c>
      <c r="AF5" s="114" t="n">
        <v>3</v>
      </c>
      <c r="AG5" s="114" t="n">
        <v>14</v>
      </c>
    </row>
    <row r="6">
      <c r="A6" s="15" t="inlineStr">
        <is>
          <t>wolf_alpha</t>
        </is>
      </c>
      <c r="B6" s="15" t="inlineStr">
        <is>
          <t>Loup Alpha</t>
        </is>
      </c>
      <c r="C6" s="16" t="n">
        <v>5</v>
      </c>
      <c r="D6" s="15" t="inlineStr">
        <is>
          <t>common</t>
        </is>
      </c>
      <c r="E6" s="15" t="inlineStr">
        <is>
          <t>agility</t>
        </is>
      </c>
      <c r="F6" s="15" t="inlineStr">
        <is>
          <t>wind</t>
        </is>
      </c>
      <c r="G6" s="15" t="inlineStr">
        <is>
          <t>wolf-howl</t>
        </is>
      </c>
      <c r="H6" s="16" t="n">
        <v>120</v>
      </c>
      <c r="I6" s="16" t="n">
        <v>33</v>
      </c>
      <c r="J6" s="16" t="n">
        <v>5</v>
      </c>
      <c r="K6" s="16" t="n">
        <v>22</v>
      </c>
      <c r="L6" s="16" t="n">
        <v>160</v>
      </c>
      <c r="M6" s="15" t="inlineStr">
        <is>
          <t>Le chef de la meute hurle dans la nuit.</t>
        </is>
      </c>
      <c r="N6" s="15" t="inlineStr">
        <is>
          <t>foret</t>
        </is>
      </c>
      <c r="O6" s="15" t="b">
        <v>0</v>
      </c>
      <c r="P6" s="15" t="inlineStr">
        <is>
          <t>material</t>
        </is>
      </c>
      <c r="Q6" s="15" t="inlineStr">
        <is>
          <t>wood_dark</t>
        </is>
      </c>
      <c r="R6" s="16" t="n">
        <v>0.5</v>
      </c>
      <c r="S6" s="16" t="n">
        <v>1</v>
      </c>
      <c r="T6" s="16" t="n">
        <v>2</v>
      </c>
      <c r="U6" s="15" t="inlineStr">
        <is>
          <t>material</t>
        </is>
      </c>
      <c r="V6" s="15" t="inlineStr">
        <is>
          <t>silver_fang</t>
        </is>
      </c>
      <c r="W6" s="16" t="n">
        <v>0.4</v>
      </c>
      <c r="X6" s="16" t="n">
        <v>1</v>
      </c>
      <c r="Y6" s="16" t="n">
        <v>1</v>
      </c>
      <c r="Z6" s="15" t="inlineStr">
        <is>
          <t>ingredient</t>
        </is>
      </c>
      <c r="AA6" s="15" t="inlineStr">
        <is>
          <t>wolf_blood</t>
        </is>
      </c>
      <c r="AB6" s="16" t="n">
        <v>0.3</v>
      </c>
      <c r="AC6" s="16" t="n">
        <v>1</v>
      </c>
      <c r="AD6" s="16" t="n">
        <v>1</v>
      </c>
      <c r="AE6" s="114" t="n">
        <v>0.55</v>
      </c>
      <c r="AF6" s="114" t="n">
        <v>4</v>
      </c>
      <c r="AG6" s="114" t="n">
        <v>15</v>
      </c>
    </row>
    <row r="7">
      <c r="A7" s="17" t="inlineStr">
        <is>
          <t>poisonous_snake</t>
        </is>
      </c>
      <c r="B7" s="17" t="inlineStr">
        <is>
          <t>Serpent Venimeux</t>
        </is>
      </c>
      <c r="C7" s="18" t="n">
        <v>6</v>
      </c>
      <c r="D7" s="17" t="inlineStr">
        <is>
          <t>common</t>
        </is>
      </c>
      <c r="E7" s="17" t="inlineStr">
        <is>
          <t>agility</t>
        </is>
      </c>
      <c r="F7" s="17" t="inlineStr">
        <is>
          <t>dark</t>
        </is>
      </c>
      <c r="G7" s="17" t="inlineStr">
        <is>
          <t>snake</t>
        </is>
      </c>
      <c r="H7" s="18" t="n">
        <v>145</v>
      </c>
      <c r="I7" s="18" t="n">
        <v>36</v>
      </c>
      <c r="J7" s="18" t="n">
        <v>4</v>
      </c>
      <c r="K7" s="18" t="n">
        <v>25</v>
      </c>
      <c r="L7" s="18" t="n">
        <v>185</v>
      </c>
      <c r="M7" s="17" t="inlineStr">
        <is>
          <t>Son venin ralentit et brûle les veines.</t>
        </is>
      </c>
      <c r="N7" s="17" t="inlineStr">
        <is>
          <t>foret</t>
        </is>
      </c>
      <c r="O7" s="17" t="b">
        <v>0</v>
      </c>
      <c r="P7" s="17" t="inlineStr">
        <is>
          <t>material</t>
        </is>
      </c>
      <c r="Q7" s="17" t="inlineStr">
        <is>
          <t>wood_dark</t>
        </is>
      </c>
      <c r="R7" s="18" t="n">
        <v>0.4</v>
      </c>
      <c r="S7" s="18" t="n">
        <v>1</v>
      </c>
      <c r="T7" s="18" t="n">
        <v>1</v>
      </c>
      <c r="U7" s="17" t="inlineStr">
        <is>
          <t>ingredient</t>
        </is>
      </c>
      <c r="V7" s="17" t="inlineStr">
        <is>
          <t>moon_herb</t>
        </is>
      </c>
      <c r="W7" s="18" t="n">
        <v>0.5</v>
      </c>
      <c r="X7" s="18" t="n">
        <v>1</v>
      </c>
      <c r="Y7" s="18" t="n">
        <v>2</v>
      </c>
      <c r="Z7" s="17" t="n"/>
      <c r="AA7" s="17" t="n"/>
      <c r="AB7" s="18" t="n">
        <v>0</v>
      </c>
      <c r="AC7" s="18" t="n">
        <v>0</v>
      </c>
      <c r="AD7" s="18" t="n">
        <v>0</v>
      </c>
      <c r="AE7" s="114" t="n">
        <v>0.55</v>
      </c>
      <c r="AF7" s="114" t="n">
        <v>5</v>
      </c>
      <c r="AG7" s="114" t="n">
        <v>16</v>
      </c>
    </row>
    <row r="8">
      <c r="A8" s="15" t="inlineStr">
        <is>
          <t>wild_boar</t>
        </is>
      </c>
      <c r="B8" s="15" t="inlineStr">
        <is>
          <t>Sanglier Sauvage</t>
        </is>
      </c>
      <c r="C8" s="16" t="n">
        <v>7</v>
      </c>
      <c r="D8" s="15" t="inlineStr">
        <is>
          <t>common</t>
        </is>
      </c>
      <c r="E8" s="15" t="inlineStr">
        <is>
          <t>force</t>
        </is>
      </c>
      <c r="F8" s="15" t="inlineStr">
        <is>
          <t>wind</t>
        </is>
      </c>
      <c r="G8" s="15" t="inlineStr">
        <is>
          <t>boar-tusks</t>
        </is>
      </c>
      <c r="H8" s="16" t="n">
        <v>165</v>
      </c>
      <c r="I8" s="16" t="n">
        <v>40</v>
      </c>
      <c r="J8" s="16" t="n">
        <v>7</v>
      </c>
      <c r="K8" s="16" t="n">
        <v>28</v>
      </c>
      <c r="L8" s="16" t="n">
        <v>210</v>
      </c>
      <c r="M8" s="15" t="inlineStr">
        <is>
          <t>Une charge qui fracasse tout sur son passage.</t>
        </is>
      </c>
      <c r="N8" s="15" t="inlineStr">
        <is>
          <t>foret</t>
        </is>
      </c>
      <c r="O8" s="15" t="b">
        <v>0</v>
      </c>
      <c r="P8" s="15" t="inlineStr">
        <is>
          <t>material</t>
        </is>
      </c>
      <c r="Q8" s="15" t="inlineStr">
        <is>
          <t>iron_raw</t>
        </is>
      </c>
      <c r="R8" s="16" t="n">
        <v>0.5</v>
      </c>
      <c r="S8" s="16" t="n">
        <v>1</v>
      </c>
      <c r="T8" s="16" t="n">
        <v>2</v>
      </c>
      <c r="U8" s="15" t="inlineStr">
        <is>
          <t>material</t>
        </is>
      </c>
      <c r="V8" s="15" t="inlineStr">
        <is>
          <t>silver_fang</t>
        </is>
      </c>
      <c r="W8" s="16" t="n">
        <v>0.3</v>
      </c>
      <c r="X8" s="16" t="n">
        <v>1</v>
      </c>
      <c r="Y8" s="16" t="n">
        <v>1</v>
      </c>
      <c r="Z8" s="15" t="n"/>
      <c r="AA8" s="15" t="n"/>
      <c r="AB8" s="16" t="n">
        <v>0</v>
      </c>
      <c r="AC8" s="16" t="n">
        <v>0</v>
      </c>
      <c r="AD8" s="16" t="n">
        <v>0</v>
      </c>
      <c r="AE8" s="114" t="n">
        <v>0.5</v>
      </c>
      <c r="AF8" s="114" t="n">
        <v>6</v>
      </c>
      <c r="AG8" s="114" t="n">
        <v>17</v>
      </c>
    </row>
    <row r="9">
      <c r="A9" s="17" t="inlineStr">
        <is>
          <t>bear_brown</t>
        </is>
      </c>
      <c r="B9" s="17" t="inlineStr">
        <is>
          <t>Ours Brun</t>
        </is>
      </c>
      <c r="C9" s="18" t="n">
        <v>8</v>
      </c>
      <c r="D9" s="17" t="inlineStr">
        <is>
          <t>rare</t>
        </is>
      </c>
      <c r="E9" s="17" t="inlineStr">
        <is>
          <t>force</t>
        </is>
      </c>
      <c r="F9" s="17" t="inlineStr">
        <is>
          <t>wind</t>
        </is>
      </c>
      <c r="G9" s="17" t="inlineStr">
        <is>
          <t>bear-head</t>
        </is>
      </c>
      <c r="H9" s="18" t="n">
        <v>200</v>
      </c>
      <c r="I9" s="18" t="n">
        <v>52</v>
      </c>
      <c r="J9" s="18" t="n">
        <v>10</v>
      </c>
      <c r="K9" s="18" t="n">
        <v>38</v>
      </c>
      <c r="L9" s="18" t="n">
        <v>280</v>
      </c>
      <c r="M9" s="17" t="inlineStr">
        <is>
          <t>Massif. Lent. Dévastateur.</t>
        </is>
      </c>
      <c r="N9" s="17" t="inlineStr">
        <is>
          <t>foret</t>
        </is>
      </c>
      <c r="O9" s="17" t="b">
        <v>0</v>
      </c>
      <c r="P9" s="17" t="inlineStr">
        <is>
          <t>material</t>
        </is>
      </c>
      <c r="Q9" s="17" t="inlineStr">
        <is>
          <t>iron_raw</t>
        </is>
      </c>
      <c r="R9" s="18" t="n">
        <v>0.6</v>
      </c>
      <c r="S9" s="18" t="n">
        <v>1</v>
      </c>
      <c r="T9" s="18" t="n">
        <v>2</v>
      </c>
      <c r="U9" s="17" t="inlineStr">
        <is>
          <t>material</t>
        </is>
      </c>
      <c r="V9" s="17" t="inlineStr">
        <is>
          <t>silver_fang</t>
        </is>
      </c>
      <c r="W9" s="18" t="n">
        <v>0.3</v>
      </c>
      <c r="X9" s="18" t="n">
        <v>1</v>
      </c>
      <c r="Y9" s="18" t="n">
        <v>1</v>
      </c>
      <c r="Z9" s="17" t="inlineStr">
        <is>
          <t>ingredient</t>
        </is>
      </c>
      <c r="AA9" s="17" t="inlineStr">
        <is>
          <t>moon_herb</t>
        </is>
      </c>
      <c r="AB9" s="18" t="n">
        <v>0.4</v>
      </c>
      <c r="AC9" s="18" t="n">
        <v>1</v>
      </c>
      <c r="AD9" s="18" t="n">
        <v>2</v>
      </c>
      <c r="AE9" s="114" t="n">
        <v>0.35</v>
      </c>
      <c r="AF9" s="114" t="n">
        <v>7</v>
      </c>
      <c r="AG9" s="114" t="n">
        <v>18</v>
      </c>
    </row>
    <row r="10">
      <c r="A10" s="15" t="inlineStr">
        <is>
          <t>dark_wolf</t>
        </is>
      </c>
      <c r="B10" s="15" t="inlineStr">
        <is>
          <t>Loup des Ombres</t>
        </is>
      </c>
      <c r="C10" s="16" t="n">
        <v>9</v>
      </c>
      <c r="D10" s="15" t="inlineStr">
        <is>
          <t>rare</t>
        </is>
      </c>
      <c r="E10" s="15" t="inlineStr">
        <is>
          <t>agility</t>
        </is>
      </c>
      <c r="F10" s="15" t="inlineStr">
        <is>
          <t>dark</t>
        </is>
      </c>
      <c r="G10" s="15" t="inlineStr">
        <is>
          <t>wolf-head</t>
        </is>
      </c>
      <c r="H10" s="16" t="n">
        <v>230</v>
      </c>
      <c r="I10" s="16" t="n">
        <v>56</v>
      </c>
      <c r="J10" s="16" t="n">
        <v>8</v>
      </c>
      <c r="K10" s="16" t="n">
        <v>42</v>
      </c>
      <c r="L10" s="16" t="n">
        <v>320</v>
      </c>
      <c r="M10" s="15" t="inlineStr">
        <is>
          <t>Ses yeux jaunes luisent dans les ténèbres.</t>
        </is>
      </c>
      <c r="N10" s="15" t="inlineStr">
        <is>
          <t>foret</t>
        </is>
      </c>
      <c r="O10" s="15" t="b">
        <v>0</v>
      </c>
      <c r="P10" s="15" t="inlineStr">
        <is>
          <t>material</t>
        </is>
      </c>
      <c r="Q10" s="15" t="inlineStr">
        <is>
          <t>silver_fang</t>
        </is>
      </c>
      <c r="R10" s="16" t="n">
        <v>0.6</v>
      </c>
      <c r="S10" s="16" t="n">
        <v>1</v>
      </c>
      <c r="T10" s="16" t="n">
        <v>2</v>
      </c>
      <c r="U10" s="15" t="inlineStr">
        <is>
          <t>ingredient</t>
        </is>
      </c>
      <c r="V10" s="15" t="inlineStr">
        <is>
          <t>wolf_blood</t>
        </is>
      </c>
      <c r="W10" s="16" t="n">
        <v>0.5</v>
      </c>
      <c r="X10" s="16" t="n">
        <v>1</v>
      </c>
      <c r="Y10" s="16" t="n">
        <v>1</v>
      </c>
      <c r="Z10" s="15" t="n"/>
      <c r="AA10" s="15" t="n"/>
      <c r="AB10" s="16" t="n">
        <v>0</v>
      </c>
      <c r="AC10" s="16" t="n">
        <v>0</v>
      </c>
      <c r="AD10" s="16" t="n">
        <v>0</v>
      </c>
      <c r="AE10" s="114" t="n">
        <v>0.35</v>
      </c>
      <c r="AF10" s="114" t="n">
        <v>8</v>
      </c>
      <c r="AG10" s="114" t="n">
        <v>19</v>
      </c>
    </row>
    <row r="11">
      <c r="A11" t="inlineStr">
        <is>
          <t>treant_young</t>
        </is>
      </c>
      <c r="B11" t="inlineStr">
        <is>
          <t>Jeune Sylvanide</t>
        </is>
      </c>
      <c r="C11" t="n">
        <v>10</v>
      </c>
      <c r="D11" t="inlineStr">
        <is>
          <t>rare</t>
        </is>
      </c>
      <c r="E11" t="inlineStr">
        <is>
          <t>endurance</t>
        </is>
      </c>
      <c r="F11" t="inlineStr">
        <is>
          <t>wind</t>
        </is>
      </c>
      <c r="G11" t="inlineStr">
        <is>
          <t>oak</t>
        </is>
      </c>
      <c r="H11" t="n">
        <v>280</v>
      </c>
      <c r="I11" t="n">
        <v>60</v>
      </c>
      <c r="J11" t="n">
        <v>14</v>
      </c>
      <c r="K11" t="n">
        <v>48</v>
      </c>
      <c r="L11" t="n">
        <v>380</v>
      </c>
      <c r="M11" t="inlineStr">
        <is>
          <t>Un arbre animé par une magie corrompue.</t>
        </is>
      </c>
      <c r="N11" t="inlineStr">
        <is>
          <t>foret</t>
        </is>
      </c>
      <c r="O11" t="b">
        <v>0</v>
      </c>
      <c r="P11" t="inlineStr">
        <is>
          <t>material</t>
        </is>
      </c>
      <c r="Q11" t="inlineStr">
        <is>
          <t>wood_dark</t>
        </is>
      </c>
      <c r="R11" t="n">
        <v>0.7</v>
      </c>
      <c r="S11" t="n">
        <v>2</v>
      </c>
      <c r="T11" t="n">
        <v>3</v>
      </c>
      <c r="U11" t="inlineStr">
        <is>
          <t>material</t>
        </is>
      </c>
      <c r="V11" t="inlineStr">
        <is>
          <t>rune_bone</t>
        </is>
      </c>
      <c r="W11" t="n">
        <v>0.3</v>
      </c>
      <c r="X11" t="n">
        <v>1</v>
      </c>
      <c r="Y11" t="n">
        <v>1</v>
      </c>
      <c r="AB11" t="n">
        <v>0</v>
      </c>
      <c r="AC11" t="n">
        <v>0</v>
      </c>
      <c r="AD11" t="n">
        <v>0</v>
      </c>
      <c r="AE11" t="n">
        <v>0.3</v>
      </c>
      <c r="AF11" t="n">
        <v>9</v>
      </c>
      <c r="AG11" t="n">
        <v>20</v>
      </c>
    </row>
    <row r="12">
      <c r="A12" t="inlineStr">
        <is>
          <t>forest_guardian</t>
        </is>
      </c>
      <c r="B12" t="inlineStr">
        <is>
          <t>Gardien de la Forêt</t>
        </is>
      </c>
      <c r="C12" t="n">
        <v>11</v>
      </c>
      <c r="D12" t="inlineStr">
        <is>
          <t>rare</t>
        </is>
      </c>
      <c r="E12" t="inlineStr">
        <is>
          <t>force</t>
        </is>
      </c>
      <c r="F12" t="inlineStr">
        <is>
          <t>wind</t>
        </is>
      </c>
      <c r="G12" t="inlineStr">
        <is>
          <t>elf-ear</t>
        </is>
      </c>
      <c r="H12" t="n">
        <v>290</v>
      </c>
      <c r="I12" t="n">
        <v>65</v>
      </c>
      <c r="J12" t="n">
        <v>12</v>
      </c>
      <c r="K12" t="n">
        <v>52</v>
      </c>
      <c r="L12" t="n">
        <v>400</v>
      </c>
      <c r="M12" t="inlineStr">
        <is>
          <t>L'esprit protecteur de la forêt, corrompu.</t>
        </is>
      </c>
      <c r="N12" t="inlineStr">
        <is>
          <t>foret</t>
        </is>
      </c>
      <c r="O12" t="b">
        <v>0</v>
      </c>
      <c r="P12" t="inlineStr">
        <is>
          <t>material</t>
        </is>
      </c>
      <c r="Q12" t="inlineStr">
        <is>
          <t>wood_dark</t>
        </is>
      </c>
      <c r="R12" t="n">
        <v>0.6</v>
      </c>
      <c r="S12" t="n">
        <v>2</v>
      </c>
      <c r="T12" t="n">
        <v>3</v>
      </c>
      <c r="U12" t="inlineStr">
        <is>
          <t>material</t>
        </is>
      </c>
      <c r="V12" t="inlineStr">
        <is>
          <t>rune_bone</t>
        </is>
      </c>
      <c r="W12" t="n">
        <v>0.4</v>
      </c>
      <c r="X12" t="n">
        <v>1</v>
      </c>
      <c r="Y12" t="n">
        <v>1</v>
      </c>
      <c r="AB12" t="n">
        <v>0</v>
      </c>
      <c r="AC12" t="n">
        <v>0</v>
      </c>
      <c r="AD12" t="n">
        <v>0</v>
      </c>
      <c r="AE12" t="n">
        <v>0.3</v>
      </c>
      <c r="AF12" t="n">
        <v>10</v>
      </c>
      <c r="AG12" t="n">
        <v>21</v>
      </c>
    </row>
    <row r="13">
      <c r="A13" t="inlineStr">
        <is>
          <t>witch_woods</t>
        </is>
      </c>
      <c r="B13" t="inlineStr">
        <is>
          <t>Sorcier des Bois</t>
        </is>
      </c>
      <c r="C13" t="n">
        <v>12</v>
      </c>
      <c r="D13" t="inlineStr">
        <is>
          <t>rare</t>
        </is>
      </c>
      <c r="E13" t="inlineStr">
        <is>
          <t>endurance</t>
        </is>
      </c>
      <c r="F13" t="inlineStr">
        <is>
          <t>dark</t>
        </is>
      </c>
      <c r="G13" t="inlineStr">
        <is>
          <t>wizard-face</t>
        </is>
      </c>
      <c r="H13" t="n">
        <v>280</v>
      </c>
      <c r="I13" t="n">
        <v>70</v>
      </c>
      <c r="J13" t="n">
        <v>8</v>
      </c>
      <c r="K13" t="n">
        <v>55</v>
      </c>
      <c r="L13" t="n">
        <v>430</v>
      </c>
      <c r="M13" t="inlineStr">
        <is>
          <t>Ses incantations font frissonner les arbres.</t>
        </is>
      </c>
      <c r="N13" t="inlineStr">
        <is>
          <t>foret</t>
        </is>
      </c>
      <c r="O13" t="b">
        <v>0</v>
      </c>
      <c r="P13" t="inlineStr">
        <is>
          <t>material</t>
        </is>
      </c>
      <c r="Q13" t="inlineStr">
        <is>
          <t>rune_bone</t>
        </is>
      </c>
      <c r="R13" t="n">
        <v>0.6</v>
      </c>
      <c r="S13" t="n">
        <v>1</v>
      </c>
      <c r="T13" t="n">
        <v>2</v>
      </c>
      <c r="U13" t="inlineStr">
        <is>
          <t>material</t>
        </is>
      </c>
      <c r="V13" t="inlineStr">
        <is>
          <t>mana_crystal</t>
        </is>
      </c>
      <c r="W13" t="n">
        <v>0.2</v>
      </c>
      <c r="X13" t="n">
        <v>1</v>
      </c>
      <c r="Y13" t="n">
        <v>1</v>
      </c>
      <c r="Z13" t="inlineStr">
        <is>
          <t>ingredient</t>
        </is>
      </c>
      <c r="AA13" t="inlineStr">
        <is>
          <t>fairy_tear</t>
        </is>
      </c>
      <c r="AB13" t="n">
        <v>0.2</v>
      </c>
      <c r="AC13" t="n">
        <v>1</v>
      </c>
      <c r="AD13" t="n">
        <v>1</v>
      </c>
      <c r="AE13" t="n">
        <v>0.3</v>
      </c>
      <c r="AF13" t="n">
        <v>11</v>
      </c>
      <c r="AG13" t="n">
        <v>22</v>
      </c>
    </row>
    <row r="14">
      <c r="A14" t="inlineStr">
        <is>
          <t>shadow_fox</t>
        </is>
      </c>
      <c r="B14" t="inlineStr">
        <is>
          <t>Renard des Ombres</t>
        </is>
      </c>
      <c r="C14" t="n">
        <v>13</v>
      </c>
      <c r="D14" t="inlineStr">
        <is>
          <t>epic</t>
        </is>
      </c>
      <c r="E14" t="inlineStr">
        <is>
          <t>agility</t>
        </is>
      </c>
      <c r="F14" t="inlineStr">
        <is>
          <t>dark</t>
        </is>
      </c>
      <c r="G14" t="inlineStr">
        <is>
          <t>fox-head</t>
        </is>
      </c>
      <c r="H14" t="n">
        <v>380</v>
      </c>
      <c r="I14" t="n">
        <v>93</v>
      </c>
      <c r="J14" t="n">
        <v>10</v>
      </c>
      <c r="K14" t="n">
        <v>75</v>
      </c>
      <c r="L14" t="n">
        <v>560</v>
      </c>
      <c r="M14" t="inlineStr">
        <is>
          <t>Rapide comme l'éclair, il surgit de l'ombre.</t>
        </is>
      </c>
      <c r="N14" t="inlineStr">
        <is>
          <t>foret</t>
        </is>
      </c>
      <c r="O14" t="b">
        <v>0</v>
      </c>
      <c r="P14" t="inlineStr">
        <is>
          <t>material</t>
        </is>
      </c>
      <c r="Q14" t="inlineStr">
        <is>
          <t>silver_fang</t>
        </is>
      </c>
      <c r="R14" t="n">
        <v>0.7</v>
      </c>
      <c r="S14" t="n">
        <v>1</v>
      </c>
      <c r="T14" t="n">
        <v>2</v>
      </c>
      <c r="U14" t="inlineStr">
        <is>
          <t>ingredient</t>
        </is>
      </c>
      <c r="V14" t="inlineStr">
        <is>
          <t>wolf_blood</t>
        </is>
      </c>
      <c r="W14" t="n">
        <v>0.4</v>
      </c>
      <c r="X14" t="n">
        <v>1</v>
      </c>
      <c r="Y14" t="n">
        <v>2</v>
      </c>
      <c r="AB14" t="n">
        <v>0</v>
      </c>
      <c r="AC14" t="n">
        <v>0</v>
      </c>
      <c r="AD14" t="n">
        <v>0</v>
      </c>
      <c r="AE14" t="n">
        <v>0.2</v>
      </c>
      <c r="AF14" t="n">
        <v>12</v>
      </c>
      <c r="AG14" t="n">
        <v>23</v>
      </c>
    </row>
    <row r="15">
      <c r="A15" t="inlineStr">
        <is>
          <t>elder_owl</t>
        </is>
      </c>
      <c r="B15" t="inlineStr">
        <is>
          <t>Hibou Ancien</t>
        </is>
      </c>
      <c r="C15" t="n">
        <v>14</v>
      </c>
      <c r="D15" t="inlineStr">
        <is>
          <t>epic</t>
        </is>
      </c>
      <c r="E15" t="inlineStr">
        <is>
          <t>agility</t>
        </is>
      </c>
      <c r="F15" t="inlineStr">
        <is>
          <t>wind</t>
        </is>
      </c>
      <c r="G15" t="inlineStr">
        <is>
          <t>eagle-head</t>
        </is>
      </c>
      <c r="H15" t="n">
        <v>430</v>
      </c>
      <c r="I15" t="n">
        <v>99</v>
      </c>
      <c r="J15" t="n">
        <v>14</v>
      </c>
      <c r="K15" t="n">
        <v>85</v>
      </c>
      <c r="L15" t="n">
        <v>600</v>
      </c>
      <c r="M15" t="inlineStr">
        <is>
          <t>Ses yeux voient les âmes corrompues.</t>
        </is>
      </c>
      <c r="N15" t="inlineStr">
        <is>
          <t>foret</t>
        </is>
      </c>
      <c r="O15" t="b">
        <v>0</v>
      </c>
      <c r="P15" t="inlineStr">
        <is>
          <t>material</t>
        </is>
      </c>
      <c r="Q15" t="inlineStr">
        <is>
          <t>rune_bone</t>
        </is>
      </c>
      <c r="R15" t="n">
        <v>0.5</v>
      </c>
      <c r="S15" t="n">
        <v>1</v>
      </c>
      <c r="T15" t="n">
        <v>2</v>
      </c>
      <c r="U15" t="inlineStr">
        <is>
          <t>material</t>
        </is>
      </c>
      <c r="V15" t="inlineStr">
        <is>
          <t>mana_crystal</t>
        </is>
      </c>
      <c r="W15" t="n">
        <v>0.3</v>
      </c>
      <c r="X15" t="n">
        <v>1</v>
      </c>
      <c r="Y15" t="n">
        <v>1</v>
      </c>
      <c r="Z15" t="inlineStr">
        <is>
          <t>ingredient</t>
        </is>
      </c>
      <c r="AA15" t="inlineStr">
        <is>
          <t>moon_herb</t>
        </is>
      </c>
      <c r="AB15" t="n">
        <v>0.4</v>
      </c>
      <c r="AC15" t="n">
        <v>1</v>
      </c>
      <c r="AD15" t="n">
        <v>2</v>
      </c>
      <c r="AE15" t="n">
        <v>0.15</v>
      </c>
      <c r="AF15" t="n">
        <v>13</v>
      </c>
      <c r="AG15" t="n">
        <v>24</v>
      </c>
    </row>
    <row r="16">
      <c r="A16" t="inlineStr">
        <is>
          <t>wolf_king</t>
        </is>
      </c>
      <c r="B16" t="inlineStr">
        <is>
          <t>Roi des Loups</t>
        </is>
      </c>
      <c r="C16" t="n">
        <v>15</v>
      </c>
      <c r="D16" t="inlineStr">
        <is>
          <t>epic</t>
        </is>
      </c>
      <c r="E16" t="inlineStr">
        <is>
          <t>force</t>
        </is>
      </c>
      <c r="F16" t="inlineStr">
        <is>
          <t>wind</t>
        </is>
      </c>
      <c r="G16" t="inlineStr">
        <is>
          <t>wolverine-claws</t>
        </is>
      </c>
      <c r="H16" t="n">
        <v>450</v>
      </c>
      <c r="I16" t="n">
        <v>105</v>
      </c>
      <c r="J16" t="n">
        <v>15</v>
      </c>
      <c r="K16" t="n">
        <v>95</v>
      </c>
      <c r="L16" t="n">
        <v>650</v>
      </c>
      <c r="M16" t="inlineStr">
        <is>
          <t>Le seigneur de la forêt. Boss régional.</t>
        </is>
      </c>
      <c r="N16" t="inlineStr">
        <is>
          <t>foret</t>
        </is>
      </c>
      <c r="O16" t="b">
        <v>1</v>
      </c>
      <c r="P16" t="inlineStr">
        <is>
          <t>material</t>
        </is>
      </c>
      <c r="Q16" t="inlineStr">
        <is>
          <t>silver_fang</t>
        </is>
      </c>
      <c r="R16" t="n">
        <v>0.8</v>
      </c>
      <c r="S16" t="n">
        <v>2</v>
      </c>
      <c r="T16" t="n">
        <v>3</v>
      </c>
      <c r="U16" t="inlineStr">
        <is>
          <t>material</t>
        </is>
      </c>
      <c r="V16" t="inlineStr">
        <is>
          <t>mana_crystal</t>
        </is>
      </c>
      <c r="W16" t="n">
        <v>0.4</v>
      </c>
      <c r="X16" t="n">
        <v>1</v>
      </c>
      <c r="Y16" t="n">
        <v>2</v>
      </c>
      <c r="Z16" t="inlineStr">
        <is>
          <t>ingredient</t>
        </is>
      </c>
      <c r="AA16" t="inlineStr">
        <is>
          <t>wolf_blood</t>
        </is>
      </c>
      <c r="AB16" t="n">
        <v>0.5</v>
      </c>
      <c r="AC16" t="n">
        <v>1</v>
      </c>
      <c r="AD16" t="n">
        <v>2</v>
      </c>
      <c r="AE16" t="n">
        <v>0.1</v>
      </c>
      <c r="AF16" t="n">
        <v>14</v>
      </c>
      <c r="AG16" t="n">
        <v>25</v>
      </c>
    </row>
    <row r="17">
      <c r="A17" t="inlineStr">
        <is>
          <t>mud_crab</t>
        </is>
      </c>
      <c r="B17" t="inlineStr">
        <is>
          <t>Crabe des Boues</t>
        </is>
      </c>
      <c r="C17" t="n">
        <v>16</v>
      </c>
      <c r="D17" t="inlineStr">
        <is>
          <t>common</t>
        </is>
      </c>
      <c r="E17" t="inlineStr">
        <is>
          <t>endurance</t>
        </is>
      </c>
      <c r="F17" t="inlineStr">
        <is>
          <t>water</t>
        </is>
      </c>
      <c r="G17" t="inlineStr">
        <is>
          <t>crab-claw</t>
        </is>
      </c>
      <c r="H17" t="n">
        <v>280</v>
      </c>
      <c r="I17" t="n">
        <v>75</v>
      </c>
      <c r="J17" t="n">
        <v>12</v>
      </c>
      <c r="K17" t="n">
        <v>80</v>
      </c>
      <c r="L17" t="n">
        <v>620</v>
      </c>
      <c r="M17" t="inlineStr">
        <is>
          <t>Sa carapace absorbe les coups.</t>
        </is>
      </c>
      <c r="N17" t="inlineStr">
        <is>
          <t>marais</t>
        </is>
      </c>
      <c r="O17" t="b">
        <v>0</v>
      </c>
      <c r="P17" t="inlineStr">
        <is>
          <t>material</t>
        </is>
      </c>
      <c r="Q17" t="inlineStr">
        <is>
          <t>iron_raw</t>
        </is>
      </c>
      <c r="R17" t="n">
        <v>0.6</v>
      </c>
      <c r="S17" t="n">
        <v>1</v>
      </c>
      <c r="T17" t="n">
        <v>2</v>
      </c>
      <c r="U17" t="inlineStr">
        <is>
          <t>ingredient</t>
        </is>
      </c>
      <c r="V17" t="inlineStr">
        <is>
          <t>moon_herb</t>
        </is>
      </c>
      <c r="W17" t="n">
        <v>0.4</v>
      </c>
      <c r="X17" t="n">
        <v>1</v>
      </c>
      <c r="Y17" t="n">
        <v>1</v>
      </c>
      <c r="AB17" t="n">
        <v>0</v>
      </c>
      <c r="AC17" t="n">
        <v>0</v>
      </c>
      <c r="AD17" t="n">
        <v>0</v>
      </c>
      <c r="AE17" t="n">
        <v>0.6</v>
      </c>
      <c r="AF17" t="n">
        <v>15</v>
      </c>
      <c r="AG17" t="n">
        <v>26</v>
      </c>
    </row>
    <row r="18">
      <c r="A18" t="inlineStr">
        <is>
          <t>will_o_wisp</t>
        </is>
      </c>
      <c r="B18" t="inlineStr">
        <is>
          <t>Feu Follet</t>
        </is>
      </c>
      <c r="C18" t="n">
        <v>17</v>
      </c>
      <c r="D18" t="inlineStr">
        <is>
          <t>common</t>
        </is>
      </c>
      <c r="E18" t="inlineStr">
        <is>
          <t>agility</t>
        </is>
      </c>
      <c r="F18" t="inlineStr">
        <is>
          <t>dark</t>
        </is>
      </c>
      <c r="G18" t="inlineStr">
        <is>
          <t>fairy</t>
        </is>
      </c>
      <c r="H18" t="n">
        <v>270</v>
      </c>
      <c r="I18" t="n">
        <v>79</v>
      </c>
      <c r="J18" t="n">
        <v>6</v>
      </c>
      <c r="K18" t="n">
        <v>85</v>
      </c>
      <c r="L18" t="n">
        <v>660</v>
      </c>
      <c r="M18" t="inlineStr">
        <is>
          <t>Une flamme errante aux intentions mauvaises.</t>
        </is>
      </c>
      <c r="N18" t="inlineStr">
        <is>
          <t>marais</t>
        </is>
      </c>
      <c r="O18" t="b">
        <v>0</v>
      </c>
      <c r="P18" t="inlineStr">
        <is>
          <t>material</t>
        </is>
      </c>
      <c r="Q18" t="inlineStr">
        <is>
          <t>mana_crystal</t>
        </is>
      </c>
      <c r="R18" t="n">
        <v>0.4</v>
      </c>
      <c r="S18" t="n">
        <v>1</v>
      </c>
      <c r="T18" t="n">
        <v>1</v>
      </c>
      <c r="U18" t="inlineStr">
        <is>
          <t>ingredient</t>
        </is>
      </c>
      <c r="V18" t="inlineStr">
        <is>
          <t>fairy_tear</t>
        </is>
      </c>
      <c r="W18" t="n">
        <v>0.3</v>
      </c>
      <c r="X18" t="n">
        <v>1</v>
      </c>
      <c r="Y18" t="n">
        <v>1</v>
      </c>
      <c r="AB18" t="n">
        <v>0</v>
      </c>
      <c r="AC18" t="n">
        <v>0</v>
      </c>
      <c r="AD18" t="n">
        <v>0</v>
      </c>
      <c r="AE18" t="n">
        <v>0.55</v>
      </c>
      <c r="AF18" t="n">
        <v>16</v>
      </c>
      <c r="AG18" t="n">
        <v>27</v>
      </c>
    </row>
    <row r="19">
      <c r="A19" t="inlineStr">
        <is>
          <t>giant_boar</t>
        </is>
      </c>
      <c r="B19" t="inlineStr">
        <is>
          <t>Sanglier Géant</t>
        </is>
      </c>
      <c r="C19" t="n">
        <v>18</v>
      </c>
      <c r="D19" t="inlineStr">
        <is>
          <t>rare</t>
        </is>
      </c>
      <c r="E19" t="inlineStr">
        <is>
          <t>force</t>
        </is>
      </c>
      <c r="F19" t="inlineStr">
        <is>
          <t>dark</t>
        </is>
      </c>
      <c r="G19" t="inlineStr">
        <is>
          <t>boar-tusks</t>
        </is>
      </c>
      <c r="H19" t="n">
        <v>550</v>
      </c>
      <c r="I19" t="n">
        <v>101</v>
      </c>
      <c r="J19" t="n">
        <v>18</v>
      </c>
      <c r="K19" t="n">
        <v>115</v>
      </c>
      <c r="L19" t="n">
        <v>750</v>
      </c>
      <c r="M19" t="inlineStr">
        <is>
          <t>Sa charge fait trembler le sol.</t>
        </is>
      </c>
      <c r="N19" t="inlineStr">
        <is>
          <t>marais</t>
        </is>
      </c>
      <c r="O19" t="b">
        <v>0</v>
      </c>
      <c r="P19" t="inlineStr">
        <is>
          <t>material</t>
        </is>
      </c>
      <c r="Q19" t="inlineStr">
        <is>
          <t>iron_raw</t>
        </is>
      </c>
      <c r="R19" t="n">
        <v>0.7</v>
      </c>
      <c r="S19" t="n">
        <v>1</v>
      </c>
      <c r="T19" t="n">
        <v>3</v>
      </c>
      <c r="U19" t="inlineStr">
        <is>
          <t>material</t>
        </is>
      </c>
      <c r="V19" t="inlineStr">
        <is>
          <t>silver_fang</t>
        </is>
      </c>
      <c r="W19" t="n">
        <v>0.3</v>
      </c>
      <c r="X19" t="n">
        <v>1</v>
      </c>
      <c r="Y19" t="n">
        <v>2</v>
      </c>
      <c r="AB19" t="n">
        <v>0</v>
      </c>
      <c r="AC19" t="n">
        <v>0</v>
      </c>
      <c r="AD19" t="n">
        <v>0</v>
      </c>
      <c r="AE19" t="n">
        <v>0.35</v>
      </c>
      <c r="AF19" t="n">
        <v>17</v>
      </c>
      <c r="AG19" t="n">
        <v>28</v>
      </c>
    </row>
    <row r="20">
      <c r="A20" t="inlineStr">
        <is>
          <t>swamp_leech</t>
        </is>
      </c>
      <c r="B20" t="inlineStr">
        <is>
          <t>Sangsue Géante</t>
        </is>
      </c>
      <c r="C20" t="n">
        <v>19</v>
      </c>
      <c r="D20" t="inlineStr">
        <is>
          <t>common</t>
        </is>
      </c>
      <c r="E20" t="inlineStr">
        <is>
          <t>endurance</t>
        </is>
      </c>
      <c r="F20" t="inlineStr">
        <is>
          <t>dark</t>
        </is>
      </c>
      <c r="G20" t="inlineStr">
        <is>
          <t>leech</t>
        </is>
      </c>
      <c r="H20" t="n">
        <v>290</v>
      </c>
      <c r="I20" t="n">
        <v>89</v>
      </c>
      <c r="J20" t="n">
        <v>10</v>
      </c>
      <c r="K20" t="n">
        <v>90</v>
      </c>
      <c r="L20" t="n">
        <v>700</v>
      </c>
      <c r="M20" t="inlineStr">
        <is>
          <t>Elle se gonfle du sang de ses victimes.</t>
        </is>
      </c>
      <c r="N20" t="inlineStr">
        <is>
          <t>marais</t>
        </is>
      </c>
      <c r="O20" t="b">
        <v>0</v>
      </c>
      <c r="P20" t="inlineStr">
        <is>
          <t>material</t>
        </is>
      </c>
      <c r="Q20" t="inlineStr">
        <is>
          <t>iron_raw</t>
        </is>
      </c>
      <c r="R20" t="n">
        <v>0.5</v>
      </c>
      <c r="S20" t="n">
        <v>1</v>
      </c>
      <c r="T20" t="n">
        <v>2</v>
      </c>
      <c r="U20" t="inlineStr">
        <is>
          <t>ingredient</t>
        </is>
      </c>
      <c r="V20" t="inlineStr">
        <is>
          <t>wolf_blood</t>
        </is>
      </c>
      <c r="W20" t="n">
        <v>0.3</v>
      </c>
      <c r="X20" t="n">
        <v>1</v>
      </c>
      <c r="Y20" t="n">
        <v>1</v>
      </c>
      <c r="AB20" t="n">
        <v>0</v>
      </c>
      <c r="AC20" t="n">
        <v>0</v>
      </c>
      <c r="AD20" t="n">
        <v>0</v>
      </c>
      <c r="AE20" t="n">
        <v>0.5</v>
      </c>
      <c r="AF20" t="n">
        <v>18</v>
      </c>
      <c r="AG20" t="n">
        <v>29</v>
      </c>
    </row>
    <row r="21">
      <c r="A21" t="inlineStr">
        <is>
          <t>bog_witch</t>
        </is>
      </c>
      <c r="B21" t="inlineStr">
        <is>
          <t>Sorcière du Bourbier</t>
        </is>
      </c>
      <c r="C21" t="n">
        <v>20</v>
      </c>
      <c r="D21" t="inlineStr">
        <is>
          <t>rare</t>
        </is>
      </c>
      <c r="E21" t="inlineStr">
        <is>
          <t>endurance</t>
        </is>
      </c>
      <c r="F21" t="inlineStr">
        <is>
          <t>dark</t>
        </is>
      </c>
      <c r="G21" t="inlineStr">
        <is>
          <t>witch-flight</t>
        </is>
      </c>
      <c r="H21" t="n">
        <v>560</v>
      </c>
      <c r="I21" t="n">
        <v>113</v>
      </c>
      <c r="J21" t="n">
        <v>14</v>
      </c>
      <c r="K21" t="n">
        <v>130</v>
      </c>
      <c r="L21" t="n">
        <v>850</v>
      </c>
      <c r="M21" t="inlineStr">
        <is>
          <t>Elle murmure des malédictions depuis les roseaux.</t>
        </is>
      </c>
      <c r="N21" t="inlineStr">
        <is>
          <t>marais</t>
        </is>
      </c>
      <c r="O21" t="b">
        <v>0</v>
      </c>
      <c r="P21" t="inlineStr">
        <is>
          <t>material</t>
        </is>
      </c>
      <c r="Q21" t="inlineStr">
        <is>
          <t>rune_bone</t>
        </is>
      </c>
      <c r="R21" t="n">
        <v>0.6</v>
      </c>
      <c r="S21" t="n">
        <v>1</v>
      </c>
      <c r="T21" t="n">
        <v>2</v>
      </c>
      <c r="U21" t="inlineStr">
        <is>
          <t>material</t>
        </is>
      </c>
      <c r="V21" t="inlineStr">
        <is>
          <t>mana_crystal</t>
        </is>
      </c>
      <c r="W21" t="n">
        <v>0.3</v>
      </c>
      <c r="X21" t="n">
        <v>1</v>
      </c>
      <c r="Y21" t="n">
        <v>1</v>
      </c>
      <c r="Z21" t="inlineStr">
        <is>
          <t>ingredient</t>
        </is>
      </c>
      <c r="AA21" t="inlineStr">
        <is>
          <t>fairy_tear</t>
        </is>
      </c>
      <c r="AB21" t="n">
        <v>0.4</v>
      </c>
      <c r="AC21" t="n">
        <v>1</v>
      </c>
      <c r="AD21" t="n">
        <v>1</v>
      </c>
      <c r="AE21" t="n">
        <v>0.35</v>
      </c>
      <c r="AF21" t="n">
        <v>19</v>
      </c>
      <c r="AG21" t="n">
        <v>29</v>
      </c>
    </row>
    <row r="22">
      <c r="A22" t="inlineStr">
        <is>
          <t>vine_horror</t>
        </is>
      </c>
      <c r="B22" t="inlineStr">
        <is>
          <t>Horreur Végétale</t>
        </is>
      </c>
      <c r="C22" t="n">
        <v>21</v>
      </c>
      <c r="D22" t="inlineStr">
        <is>
          <t>rare</t>
        </is>
      </c>
      <c r="E22" t="inlineStr">
        <is>
          <t>endurance</t>
        </is>
      </c>
      <c r="F22" t="inlineStr">
        <is>
          <t>wind</t>
        </is>
      </c>
      <c r="G22" t="inlineStr">
        <is>
          <t>vine-whip</t>
        </is>
      </c>
      <c r="H22" t="n">
        <v>580</v>
      </c>
      <c r="I22" t="n">
        <v>120</v>
      </c>
      <c r="J22" t="n">
        <v>20</v>
      </c>
      <c r="K22" t="n">
        <v>140</v>
      </c>
      <c r="L22" t="n">
        <v>900</v>
      </c>
      <c r="M22" t="inlineStr">
        <is>
          <t>Ses lianes écrasent tout ce qui s'approche.</t>
        </is>
      </c>
      <c r="N22" t="inlineStr">
        <is>
          <t>marais</t>
        </is>
      </c>
      <c r="O22" t="b">
        <v>0</v>
      </c>
      <c r="P22" t="inlineStr">
        <is>
          <t>material</t>
        </is>
      </c>
      <c r="Q22" t="inlineStr">
        <is>
          <t>wood_dark</t>
        </is>
      </c>
      <c r="R22" t="n">
        <v>0.7</v>
      </c>
      <c r="S22" t="n">
        <v>2</v>
      </c>
      <c r="T22" t="n">
        <v>3</v>
      </c>
      <c r="U22" t="inlineStr">
        <is>
          <t>material</t>
        </is>
      </c>
      <c r="V22" t="inlineStr">
        <is>
          <t>rune_bone</t>
        </is>
      </c>
      <c r="W22" t="n">
        <v>0.4</v>
      </c>
      <c r="X22" t="n">
        <v>1</v>
      </c>
      <c r="Y22" t="n">
        <v>2</v>
      </c>
      <c r="AB22" t="n">
        <v>0</v>
      </c>
      <c r="AC22" t="n">
        <v>0</v>
      </c>
      <c r="AD22" t="n">
        <v>0</v>
      </c>
      <c r="AE22" t="n">
        <v>0.3</v>
      </c>
      <c r="AF22" t="n">
        <v>20</v>
      </c>
      <c r="AG22" t="n">
        <v>30</v>
      </c>
    </row>
    <row r="23">
      <c r="A23" t="inlineStr">
        <is>
          <t>cursed_fairy</t>
        </is>
      </c>
      <c r="B23" t="inlineStr">
        <is>
          <t>Fée Maudite</t>
        </is>
      </c>
      <c r="C23" t="n">
        <v>22</v>
      </c>
      <c r="D23" t="inlineStr">
        <is>
          <t>epic</t>
        </is>
      </c>
      <c r="E23" t="inlineStr">
        <is>
          <t>agility</t>
        </is>
      </c>
      <c r="F23" t="inlineStr">
        <is>
          <t>dark</t>
        </is>
      </c>
      <c r="G23" t="inlineStr">
        <is>
          <t>fairy-wand</t>
        </is>
      </c>
      <c r="H23" t="n">
        <v>680</v>
      </c>
      <c r="I23" t="n">
        <v>156</v>
      </c>
      <c r="J23" t="n">
        <v>14</v>
      </c>
      <c r="K23" t="n">
        <v>160</v>
      </c>
      <c r="L23" t="n">
        <v>980</v>
      </c>
      <c r="M23" t="inlineStr">
        <is>
          <t>Ses ailes scintillent d'une lumière vénéneuse.</t>
        </is>
      </c>
      <c r="N23" t="inlineStr">
        <is>
          <t>marais</t>
        </is>
      </c>
      <c r="O23" t="b">
        <v>0</v>
      </c>
      <c r="P23" t="inlineStr">
        <is>
          <t>material</t>
        </is>
      </c>
      <c r="Q23" t="inlineStr">
        <is>
          <t>mana_crystal</t>
        </is>
      </c>
      <c r="R23" t="n">
        <v>0.5</v>
      </c>
      <c r="S23" t="n">
        <v>1</v>
      </c>
      <c r="T23" t="n">
        <v>2</v>
      </c>
      <c r="U23" t="inlineStr">
        <is>
          <t>ingredient</t>
        </is>
      </c>
      <c r="V23" t="inlineStr">
        <is>
          <t>fairy_tear</t>
        </is>
      </c>
      <c r="W23" t="n">
        <v>0.7</v>
      </c>
      <c r="X23" t="n">
        <v>1</v>
      </c>
      <c r="Y23" t="n">
        <v>2</v>
      </c>
      <c r="AB23" t="n">
        <v>0</v>
      </c>
      <c r="AC23" t="n">
        <v>0</v>
      </c>
      <c r="AD23" t="n">
        <v>0</v>
      </c>
      <c r="AE23" t="n">
        <v>0.2</v>
      </c>
      <c r="AF23" t="n">
        <v>21</v>
      </c>
      <c r="AG23" t="n">
        <v>32</v>
      </c>
    </row>
    <row r="24">
      <c r="A24" t="inlineStr">
        <is>
          <t>shadow_wolf</t>
        </is>
      </c>
      <c r="B24" t="inlineStr">
        <is>
          <t>Loup de l'Ombre</t>
        </is>
      </c>
      <c r="C24" t="n">
        <v>23</v>
      </c>
      <c r="D24" t="inlineStr">
        <is>
          <t>rare</t>
        </is>
      </c>
      <c r="E24" t="inlineStr">
        <is>
          <t>agility</t>
        </is>
      </c>
      <c r="F24" t="inlineStr">
        <is>
          <t>dark</t>
        </is>
      </c>
      <c r="G24" t="inlineStr">
        <is>
          <t>wolf-howl</t>
        </is>
      </c>
      <c r="H24" t="n">
        <v>610</v>
      </c>
      <c r="I24" t="n">
        <v>126</v>
      </c>
      <c r="J24" t="n">
        <v>18</v>
      </c>
      <c r="K24" t="n">
        <v>150</v>
      </c>
      <c r="L24" t="n">
        <v>950</v>
      </c>
      <c r="M24" t="inlineStr">
        <is>
          <t>Plus grand et plus sombre que son cousin des bois.</t>
        </is>
      </c>
      <c r="N24" t="inlineStr">
        <is>
          <t>marais</t>
        </is>
      </c>
      <c r="O24" t="b">
        <v>0</v>
      </c>
      <c r="P24" t="inlineStr">
        <is>
          <t>material</t>
        </is>
      </c>
      <c r="Q24" t="inlineStr">
        <is>
          <t>silver_fang</t>
        </is>
      </c>
      <c r="R24" t="n">
        <v>0.6</v>
      </c>
      <c r="S24" t="n">
        <v>1</v>
      </c>
      <c r="T24" t="n">
        <v>2</v>
      </c>
      <c r="U24" t="inlineStr">
        <is>
          <t>ingredient</t>
        </is>
      </c>
      <c r="V24" t="inlineStr">
        <is>
          <t>wolf_blood</t>
        </is>
      </c>
      <c r="W24" t="n">
        <v>0.5</v>
      </c>
      <c r="X24" t="n">
        <v>1</v>
      </c>
      <c r="Y24" t="n">
        <v>2</v>
      </c>
      <c r="AB24" t="n">
        <v>0</v>
      </c>
      <c r="AC24" t="n">
        <v>0</v>
      </c>
      <c r="AD24" t="n">
        <v>0</v>
      </c>
      <c r="AE24" t="n">
        <v>0.3</v>
      </c>
      <c r="AF24" t="n">
        <v>22</v>
      </c>
      <c r="AG24" t="n">
        <v>31</v>
      </c>
    </row>
    <row r="25">
      <c r="A25" t="inlineStr">
        <is>
          <t>marsh_dragon</t>
        </is>
      </c>
      <c r="B25" t="inlineStr">
        <is>
          <t>Dragon des Marais</t>
        </is>
      </c>
      <c r="C25" t="n">
        <v>24</v>
      </c>
      <c r="D25" t="inlineStr">
        <is>
          <t>epic</t>
        </is>
      </c>
      <c r="E25" t="inlineStr">
        <is>
          <t>force</t>
        </is>
      </c>
      <c r="F25" t="inlineStr">
        <is>
          <t>water</t>
        </is>
      </c>
      <c r="G25" t="inlineStr">
        <is>
          <t>dragon-head</t>
        </is>
      </c>
      <c r="H25" t="n">
        <v>780</v>
      </c>
      <c r="I25" t="n">
        <v>173</v>
      </c>
      <c r="J25" t="n">
        <v>22</v>
      </c>
      <c r="K25" t="n">
        <v>190</v>
      </c>
      <c r="L25" t="n">
        <v>1100</v>
      </c>
      <c r="M25" t="inlineStr">
        <is>
          <t>Un dragon juvénile qui règne sur le marais.</t>
        </is>
      </c>
      <c r="N25" t="inlineStr">
        <is>
          <t>marais</t>
        </is>
      </c>
      <c r="O25" t="b">
        <v>0</v>
      </c>
      <c r="P25" t="inlineStr">
        <is>
          <t>material</t>
        </is>
      </c>
      <c r="Q25" t="inlineStr">
        <is>
          <t>iron_raw</t>
        </is>
      </c>
      <c r="R25" t="n">
        <v>0.6</v>
      </c>
      <c r="S25" t="n">
        <v>2</v>
      </c>
      <c r="T25" t="n">
        <v>3</v>
      </c>
      <c r="U25" t="inlineStr">
        <is>
          <t>material</t>
        </is>
      </c>
      <c r="V25" t="inlineStr">
        <is>
          <t>rune_bone</t>
        </is>
      </c>
      <c r="W25" t="n">
        <v>0.5</v>
      </c>
      <c r="X25" t="n">
        <v>1</v>
      </c>
      <c r="Y25" t="n">
        <v>2</v>
      </c>
      <c r="Z25" t="inlineStr">
        <is>
          <t>material</t>
        </is>
      </c>
      <c r="AA25" t="inlineStr">
        <is>
          <t>mana_crystal</t>
        </is>
      </c>
      <c r="AB25" t="n">
        <v>0.3</v>
      </c>
      <c r="AC25" t="n">
        <v>1</v>
      </c>
      <c r="AD25" t="n">
        <v>2</v>
      </c>
      <c r="AE25" t="n">
        <v>0.2</v>
      </c>
      <c r="AF25" t="n">
        <v>23</v>
      </c>
      <c r="AG25" t="n">
        <v>33</v>
      </c>
    </row>
    <row r="26">
      <c r="A26" t="inlineStr">
        <is>
          <t>toxic_mushroom</t>
        </is>
      </c>
      <c r="B26" t="inlineStr">
        <is>
          <t>Champignon Toxique</t>
        </is>
      </c>
      <c r="C26" t="n">
        <v>25</v>
      </c>
      <c r="D26" t="inlineStr">
        <is>
          <t>rare</t>
        </is>
      </c>
      <c r="E26" t="inlineStr">
        <is>
          <t>endurance</t>
        </is>
      </c>
      <c r="F26" t="inlineStr">
        <is>
          <t>dark</t>
        </is>
      </c>
      <c r="G26" t="inlineStr">
        <is>
          <t>mushroom</t>
        </is>
      </c>
      <c r="H26" t="n">
        <v>650</v>
      </c>
      <c r="I26" t="n">
        <v>126</v>
      </c>
      <c r="J26" t="n">
        <v>25</v>
      </c>
      <c r="K26" t="n">
        <v>170</v>
      </c>
      <c r="L26" t="n">
        <v>1050</v>
      </c>
      <c r="M26" t="inlineStr">
        <is>
          <t>Ses spores empoisonnées contaminent l'air.</t>
        </is>
      </c>
      <c r="N26" t="inlineStr">
        <is>
          <t>marais</t>
        </is>
      </c>
      <c r="O26" t="b">
        <v>0</v>
      </c>
      <c r="P26" t="inlineStr">
        <is>
          <t>material</t>
        </is>
      </c>
      <c r="Q26" t="inlineStr">
        <is>
          <t>rune_bone</t>
        </is>
      </c>
      <c r="R26" t="n">
        <v>0.5</v>
      </c>
      <c r="S26" t="n">
        <v>1</v>
      </c>
      <c r="T26" t="n">
        <v>2</v>
      </c>
      <c r="U26" t="inlineStr">
        <is>
          <t>ingredient</t>
        </is>
      </c>
      <c r="V26" t="inlineStr">
        <is>
          <t>moon_herb</t>
        </is>
      </c>
      <c r="W26" t="n">
        <v>0.6</v>
      </c>
      <c r="X26" t="n">
        <v>2</v>
      </c>
      <c r="Y26" t="n">
        <v>3</v>
      </c>
      <c r="AB26" t="n">
        <v>0</v>
      </c>
      <c r="AC26" t="n">
        <v>0</v>
      </c>
      <c r="AD26" t="n">
        <v>0</v>
      </c>
      <c r="AE26" t="n">
        <v>0.3</v>
      </c>
      <c r="AF26" t="n">
        <v>24</v>
      </c>
      <c r="AG26" t="n">
        <v>32</v>
      </c>
    </row>
    <row r="27">
      <c r="A27" t="inlineStr">
        <is>
          <t>swamp_troll</t>
        </is>
      </c>
      <c r="B27" t="inlineStr">
        <is>
          <t>Troll des Marais</t>
        </is>
      </c>
      <c r="C27" t="n">
        <v>26</v>
      </c>
      <c r="D27" t="inlineStr">
        <is>
          <t>epic</t>
        </is>
      </c>
      <c r="E27" t="inlineStr">
        <is>
          <t>endurance</t>
        </is>
      </c>
      <c r="F27" t="inlineStr">
        <is>
          <t>dark</t>
        </is>
      </c>
      <c r="G27" t="inlineStr">
        <is>
          <t>troll</t>
        </is>
      </c>
      <c r="H27" t="n">
        <v>850</v>
      </c>
      <c r="I27" t="n">
        <v>189</v>
      </c>
      <c r="J27" t="n">
        <v>25</v>
      </c>
      <c r="K27" t="n">
        <v>200</v>
      </c>
      <c r="L27" t="n">
        <v>1150</v>
      </c>
      <c r="M27" t="inlineStr">
        <is>
          <t>Sa peau régénère plus vite que vos coups.</t>
        </is>
      </c>
      <c r="N27" t="inlineStr">
        <is>
          <t>marais</t>
        </is>
      </c>
      <c r="O27" t="b">
        <v>0</v>
      </c>
      <c r="P27" t="inlineStr">
        <is>
          <t>material</t>
        </is>
      </c>
      <c r="Q27" t="inlineStr">
        <is>
          <t>rune_bone</t>
        </is>
      </c>
      <c r="R27" t="n">
        <v>0.7</v>
      </c>
      <c r="S27" t="n">
        <v>1</v>
      </c>
      <c r="T27" t="n">
        <v>2</v>
      </c>
      <c r="U27" t="inlineStr">
        <is>
          <t>material</t>
        </is>
      </c>
      <c r="V27" t="inlineStr">
        <is>
          <t>iron_raw</t>
        </is>
      </c>
      <c r="W27" t="n">
        <v>0.5</v>
      </c>
      <c r="X27" t="n">
        <v>1</v>
      </c>
      <c r="Y27" t="n">
        <v>3</v>
      </c>
      <c r="AB27" t="n">
        <v>0</v>
      </c>
      <c r="AC27" t="n">
        <v>0</v>
      </c>
      <c r="AD27" t="n">
        <v>0</v>
      </c>
      <c r="AE27" t="n">
        <v>0.2</v>
      </c>
      <c r="AF27" t="n">
        <v>25</v>
      </c>
      <c r="AG27" t="n">
        <v>34</v>
      </c>
    </row>
    <row r="28">
      <c r="A28" t="inlineStr">
        <is>
          <t>dark_knight</t>
        </is>
      </c>
      <c r="B28" t="inlineStr">
        <is>
          <t>Chevalier des Ténèbres</t>
        </is>
      </c>
      <c r="C28" t="n">
        <v>27</v>
      </c>
      <c r="D28" t="inlineStr">
        <is>
          <t>epic</t>
        </is>
      </c>
      <c r="E28" t="inlineStr">
        <is>
          <t>force</t>
        </is>
      </c>
      <c r="F28" t="inlineStr">
        <is>
          <t>dark</t>
        </is>
      </c>
      <c r="G28" t="inlineStr">
        <is>
          <t>knight-helmet</t>
        </is>
      </c>
      <c r="H28" t="n">
        <v>900</v>
      </c>
      <c r="I28" t="n">
        <v>196</v>
      </c>
      <c r="J28" t="n">
        <v>28</v>
      </c>
      <c r="K28" t="n">
        <v>220</v>
      </c>
      <c r="L28" t="n">
        <v>1200</v>
      </c>
      <c r="M28" t="inlineStr">
        <is>
          <t>Un guerrier maudit en armure noire.</t>
        </is>
      </c>
      <c r="N28" t="inlineStr">
        <is>
          <t>marais</t>
        </is>
      </c>
      <c r="O28" t="b">
        <v>0</v>
      </c>
      <c r="P28" t="inlineStr">
        <is>
          <t>material</t>
        </is>
      </c>
      <c r="Q28" t="inlineStr">
        <is>
          <t>iron_raw</t>
        </is>
      </c>
      <c r="R28" t="n">
        <v>0.7</v>
      </c>
      <c r="S28" t="n">
        <v>2</v>
      </c>
      <c r="T28" t="n">
        <v>3</v>
      </c>
      <c r="U28" t="inlineStr">
        <is>
          <t>material</t>
        </is>
      </c>
      <c r="V28" t="inlineStr">
        <is>
          <t>rune_bone</t>
        </is>
      </c>
      <c r="W28" t="n">
        <v>0.5</v>
      </c>
      <c r="X28" t="n">
        <v>1</v>
      </c>
      <c r="Y28" t="n">
        <v>2</v>
      </c>
      <c r="AB28" t="n">
        <v>0</v>
      </c>
      <c r="AC28" t="n">
        <v>0</v>
      </c>
      <c r="AD28" t="n">
        <v>0</v>
      </c>
      <c r="AE28" t="n">
        <v>0.15</v>
      </c>
      <c r="AF28" t="n">
        <v>26</v>
      </c>
      <c r="AG28" t="n">
        <v>35</v>
      </c>
    </row>
    <row r="29">
      <c r="A29" t="inlineStr">
        <is>
          <t>death_moth</t>
        </is>
      </c>
      <c r="B29" t="inlineStr">
        <is>
          <t>Papillon de la Mort</t>
        </is>
      </c>
      <c r="C29" t="n">
        <v>28</v>
      </c>
      <c r="D29" t="inlineStr">
        <is>
          <t>epic</t>
        </is>
      </c>
      <c r="E29" t="inlineStr">
        <is>
          <t>agility</t>
        </is>
      </c>
      <c r="F29" t="inlineStr">
        <is>
          <t>dark</t>
        </is>
      </c>
      <c r="G29" t="inlineStr">
        <is>
          <t>moth</t>
        </is>
      </c>
      <c r="H29" t="n">
        <v>850</v>
      </c>
      <c r="I29" t="n">
        <v>207</v>
      </c>
      <c r="J29" t="n">
        <v>20</v>
      </c>
      <c r="K29" t="n">
        <v>230</v>
      </c>
      <c r="L29" t="n">
        <v>1300</v>
      </c>
      <c r="M29" t="inlineStr">
        <is>
          <t>Ses écailles sont un poison mortel.</t>
        </is>
      </c>
      <c r="N29" t="inlineStr">
        <is>
          <t>marais</t>
        </is>
      </c>
      <c r="O29" t="b">
        <v>0</v>
      </c>
      <c r="P29" t="inlineStr">
        <is>
          <t>material</t>
        </is>
      </c>
      <c r="Q29" t="inlineStr">
        <is>
          <t>mana_crystal</t>
        </is>
      </c>
      <c r="R29" t="n">
        <v>0.6</v>
      </c>
      <c r="S29" t="n">
        <v>1</v>
      </c>
      <c r="T29" t="n">
        <v>2</v>
      </c>
      <c r="U29" t="inlineStr">
        <is>
          <t>ingredient</t>
        </is>
      </c>
      <c r="V29" t="inlineStr">
        <is>
          <t>fairy_tear</t>
        </is>
      </c>
      <c r="W29" t="n">
        <v>0.5</v>
      </c>
      <c r="X29" t="n">
        <v>1</v>
      </c>
      <c r="Y29" t="n">
        <v>2</v>
      </c>
      <c r="AB29" t="n">
        <v>0</v>
      </c>
      <c r="AC29" t="n">
        <v>0</v>
      </c>
      <c r="AD29" t="n">
        <v>0</v>
      </c>
      <c r="AE29" t="n">
        <v>0.15</v>
      </c>
      <c r="AF29" t="n">
        <v>27</v>
      </c>
      <c r="AG29" t="n">
        <v>36</v>
      </c>
    </row>
    <row r="30">
      <c r="A30" t="inlineStr">
        <is>
          <t>shadow_colossus</t>
        </is>
      </c>
      <c r="B30" t="inlineStr">
        <is>
          <t>Colosse des Ombres</t>
        </is>
      </c>
      <c r="C30" t="n">
        <v>29</v>
      </c>
      <c r="D30" t="inlineStr">
        <is>
          <t>legendary</t>
        </is>
      </c>
      <c r="E30" t="inlineStr">
        <is>
          <t>endurance</t>
        </is>
      </c>
      <c r="F30" t="inlineStr">
        <is>
          <t>dark</t>
        </is>
      </c>
      <c r="G30" t="inlineStr">
        <is>
          <t>giant</t>
        </is>
      </c>
      <c r="H30" t="n">
        <v>1400</v>
      </c>
      <c r="I30" t="n">
        <v>276</v>
      </c>
      <c r="J30" t="n">
        <v>30</v>
      </c>
      <c r="K30" t="n">
        <v>270</v>
      </c>
      <c r="L30" t="n">
        <v>1450</v>
      </c>
      <c r="M30" t="inlineStr">
        <is>
          <t>Issu de l'abîsse, il broie les pierres.</t>
        </is>
      </c>
      <c r="N30" t="inlineStr">
        <is>
          <t>marais</t>
        </is>
      </c>
      <c r="O30" t="b">
        <v>0</v>
      </c>
      <c r="P30" t="inlineStr">
        <is>
          <t>material</t>
        </is>
      </c>
      <c r="Q30" t="inlineStr">
        <is>
          <t>mana_crystal</t>
        </is>
      </c>
      <c r="R30" t="n">
        <v>0.7</v>
      </c>
      <c r="S30" t="n">
        <v>2</v>
      </c>
      <c r="T30" t="n">
        <v>3</v>
      </c>
      <c r="U30" t="inlineStr">
        <is>
          <t>material</t>
        </is>
      </c>
      <c r="V30" t="inlineStr">
        <is>
          <t>rune_bone</t>
        </is>
      </c>
      <c r="W30" t="n">
        <v>0.5</v>
      </c>
      <c r="X30" t="n">
        <v>2</v>
      </c>
      <c r="Y30" t="n">
        <v>3</v>
      </c>
      <c r="Z30" t="inlineStr">
        <is>
          <t>ingredient</t>
        </is>
      </c>
      <c r="AA30" t="inlineStr">
        <is>
          <t>fairy_tear</t>
        </is>
      </c>
      <c r="AB30" t="n">
        <v>0.4</v>
      </c>
      <c r="AC30" t="n">
        <v>1</v>
      </c>
      <c r="AD30" t="n">
        <v>2</v>
      </c>
      <c r="AE30" t="n">
        <v>0.08</v>
      </c>
      <c r="AF30" t="n">
        <v>28</v>
      </c>
      <c r="AG30" t="n">
        <v>38</v>
      </c>
    </row>
    <row r="31">
      <c r="A31" t="inlineStr">
        <is>
          <t>corrupted_dryad</t>
        </is>
      </c>
      <c r="B31" t="inlineStr">
        <is>
          <t>Dryade Corrompue</t>
        </is>
      </c>
      <c r="C31" t="n">
        <v>30</v>
      </c>
      <c r="D31" t="inlineStr">
        <is>
          <t>legendary</t>
        </is>
      </c>
      <c r="E31" t="inlineStr">
        <is>
          <t>endurance</t>
        </is>
      </c>
      <c r="F31" t="inlineStr">
        <is>
          <t>dark</t>
        </is>
      </c>
      <c r="G31" t="inlineStr">
        <is>
          <t>gargoyle</t>
        </is>
      </c>
      <c r="H31" t="n">
        <v>1200</v>
      </c>
      <c r="I31" t="n">
        <v>300</v>
      </c>
      <c r="J31" t="n">
        <v>28</v>
      </c>
      <c r="K31" t="n">
        <v>300</v>
      </c>
      <c r="L31" t="n">
        <v>1600</v>
      </c>
      <c r="M31" t="inlineStr">
        <is>
          <t>L'âme tordue de la forêt elle-même. Boss régional.</t>
        </is>
      </c>
      <c r="N31" t="inlineStr">
        <is>
          <t>marais</t>
        </is>
      </c>
      <c r="O31" t="b">
        <v>1</v>
      </c>
      <c r="P31" t="inlineStr">
        <is>
          <t>material</t>
        </is>
      </c>
      <c r="Q31" t="inlineStr">
        <is>
          <t>mana_crystal</t>
        </is>
      </c>
      <c r="R31" t="n">
        <v>0.7</v>
      </c>
      <c r="S31" t="n">
        <v>2</v>
      </c>
      <c r="T31" t="n">
        <v>3</v>
      </c>
      <c r="U31" t="inlineStr">
        <is>
          <t>material</t>
        </is>
      </c>
      <c r="V31" t="inlineStr">
        <is>
          <t>rune_bone</t>
        </is>
      </c>
      <c r="W31" t="n">
        <v>0.5</v>
      </c>
      <c r="X31" t="n">
        <v>1</v>
      </c>
      <c r="Y31" t="n">
        <v>2</v>
      </c>
      <c r="Z31" t="inlineStr">
        <is>
          <t>ingredient</t>
        </is>
      </c>
      <c r="AA31" t="inlineStr">
        <is>
          <t>fairy_tear</t>
        </is>
      </c>
      <c r="AB31" t="n">
        <v>0.6</v>
      </c>
      <c r="AC31" t="n">
        <v>2</v>
      </c>
      <c r="AD31" t="n">
        <v>3</v>
      </c>
      <c r="AE31" t="n">
        <v>0.05</v>
      </c>
      <c r="AF31" t="n">
        <v>29</v>
      </c>
      <c r="AG31" t="n">
        <v>40</v>
      </c>
    </row>
    <row r="32">
      <c r="A32" t="inlineStr">
        <is>
          <t>crystal_bat</t>
        </is>
      </c>
      <c r="B32" t="inlineStr">
        <is>
          <t>Chauve-Souris de Cristal</t>
        </is>
      </c>
      <c r="C32" t="n">
        <v>31</v>
      </c>
      <c r="D32" t="inlineStr">
        <is>
          <t>common</t>
        </is>
      </c>
      <c r="E32" t="inlineStr">
        <is>
          <t>agility</t>
        </is>
      </c>
      <c r="F32" t="inlineStr">
        <is>
          <t>water</t>
        </is>
      </c>
      <c r="G32" t="inlineStr">
        <is>
          <t>bat</t>
        </is>
      </c>
      <c r="H32" t="n">
        <v>380</v>
      </c>
      <c r="I32" t="n">
        <v>156</v>
      </c>
      <c r="J32" t="n">
        <v>15</v>
      </c>
      <c r="K32" t="n">
        <v>280</v>
      </c>
      <c r="L32" t="n">
        <v>1500</v>
      </c>
      <c r="M32" t="inlineStr">
        <is>
          <t>Elle reflète la lumière comme un prisme.</t>
        </is>
      </c>
      <c r="N32" t="inlineStr">
        <is>
          <t>caverne</t>
        </is>
      </c>
      <c r="O32" t="b">
        <v>0</v>
      </c>
      <c r="P32" t="inlineStr">
        <is>
          <t>material</t>
        </is>
      </c>
      <c r="Q32" t="inlineStr">
        <is>
          <t>crystal_shard</t>
        </is>
      </c>
      <c r="R32" t="n">
        <v>0.6</v>
      </c>
      <c r="S32" t="n">
        <v>1</v>
      </c>
      <c r="T32" t="n">
        <v>2</v>
      </c>
      <c r="U32" t="inlineStr">
        <is>
          <t>ingredient</t>
        </is>
      </c>
      <c r="V32" t="inlineStr">
        <is>
          <t>cave_moss</t>
        </is>
      </c>
      <c r="W32" t="n">
        <v>0.4</v>
      </c>
      <c r="X32" t="n">
        <v>1</v>
      </c>
      <c r="Y32" t="n">
        <v>1</v>
      </c>
      <c r="AB32" t="n">
        <v>0</v>
      </c>
      <c r="AC32" t="n">
        <v>0</v>
      </c>
      <c r="AD32" t="n">
        <v>0</v>
      </c>
      <c r="AE32" t="n">
        <v>0.65</v>
      </c>
      <c r="AF32" t="n">
        <v>30</v>
      </c>
      <c r="AG32" t="n">
        <v>41</v>
      </c>
    </row>
    <row r="33">
      <c r="A33" t="inlineStr">
        <is>
          <t>lava_bat</t>
        </is>
      </c>
      <c r="B33" t="inlineStr">
        <is>
          <t>Chauve-Souris de Lave</t>
        </is>
      </c>
      <c r="C33" t="n">
        <v>32</v>
      </c>
      <c r="D33" t="inlineStr">
        <is>
          <t>common</t>
        </is>
      </c>
      <c r="E33" t="inlineStr">
        <is>
          <t>agility</t>
        </is>
      </c>
      <c r="F33" t="inlineStr">
        <is>
          <t>fire</t>
        </is>
      </c>
      <c r="G33" t="inlineStr">
        <is>
          <t>bat</t>
        </is>
      </c>
      <c r="H33" t="n">
        <v>390</v>
      </c>
      <c r="I33" t="n">
        <v>163</v>
      </c>
      <c r="J33" t="n">
        <v>14</v>
      </c>
      <c r="K33" t="n">
        <v>285</v>
      </c>
      <c r="L33" t="n">
        <v>1520</v>
      </c>
      <c r="M33" t="inlineStr">
        <is>
          <t>Ses ailes brûlent au contact.</t>
        </is>
      </c>
      <c r="N33" t="inlineStr">
        <is>
          <t>caverne</t>
        </is>
      </c>
      <c r="O33" t="b">
        <v>0</v>
      </c>
      <c r="P33" t="inlineStr">
        <is>
          <t>material</t>
        </is>
      </c>
      <c r="Q33" t="inlineStr">
        <is>
          <t>crystal_shard</t>
        </is>
      </c>
      <c r="R33" t="n">
        <v>0.5</v>
      </c>
      <c r="S33" t="n">
        <v>1</v>
      </c>
      <c r="T33" t="n">
        <v>2</v>
      </c>
      <c r="U33" t="inlineStr">
        <is>
          <t>ingredient</t>
        </is>
      </c>
      <c r="V33" t="inlineStr">
        <is>
          <t>cave_moss</t>
        </is>
      </c>
      <c r="W33" t="n">
        <v>0.3</v>
      </c>
      <c r="X33" t="n">
        <v>1</v>
      </c>
      <c r="Y33" t="n">
        <v>1</v>
      </c>
      <c r="AB33" t="n">
        <v>0</v>
      </c>
      <c r="AC33" t="n">
        <v>0</v>
      </c>
      <c r="AD33" t="n">
        <v>0</v>
      </c>
      <c r="AE33" t="n">
        <v>0.6</v>
      </c>
      <c r="AF33" t="n">
        <v>31</v>
      </c>
      <c r="AG33" t="n">
        <v>42</v>
      </c>
    </row>
    <row r="34">
      <c r="A34" t="inlineStr">
        <is>
          <t>rock_golem</t>
        </is>
      </c>
      <c r="B34" t="inlineStr">
        <is>
          <t>Golem de Roche</t>
        </is>
      </c>
      <c r="C34" t="n">
        <v>33</v>
      </c>
      <c r="D34" t="inlineStr">
        <is>
          <t>common</t>
        </is>
      </c>
      <c r="E34" t="inlineStr">
        <is>
          <t>endurance</t>
        </is>
      </c>
      <c r="F34" t="inlineStr">
        <is>
          <t>wind</t>
        </is>
      </c>
      <c r="G34" t="inlineStr">
        <is>
          <t>stone-pile</t>
        </is>
      </c>
      <c r="H34" t="n">
        <v>430</v>
      </c>
      <c r="I34" t="n">
        <v>170</v>
      </c>
      <c r="J34" t="n">
        <v>30</v>
      </c>
      <c r="K34" t="n">
        <v>300</v>
      </c>
      <c r="L34" t="n">
        <v>1600</v>
      </c>
      <c r="M34" t="inlineStr">
        <is>
          <t>Lent mais presque indestructible.</t>
        </is>
      </c>
      <c r="N34" t="inlineStr">
        <is>
          <t>caverne</t>
        </is>
      </c>
      <c r="O34" t="b">
        <v>0</v>
      </c>
      <c r="P34" t="inlineStr">
        <is>
          <t>material</t>
        </is>
      </c>
      <c r="Q34" t="inlineStr">
        <is>
          <t>crystal_shard</t>
        </is>
      </c>
      <c r="R34" t="n">
        <v>0.7</v>
      </c>
      <c r="S34" t="n">
        <v>2</v>
      </c>
      <c r="T34" t="n">
        <v>3</v>
      </c>
      <c r="U34" t="inlineStr">
        <is>
          <t>material</t>
        </is>
      </c>
      <c r="V34" t="inlineStr">
        <is>
          <t>obsidian_chip</t>
        </is>
      </c>
      <c r="W34" t="n">
        <v>0.3</v>
      </c>
      <c r="X34" t="n">
        <v>1</v>
      </c>
      <c r="Y34" t="n">
        <v>1</v>
      </c>
      <c r="AB34" t="n">
        <v>0</v>
      </c>
      <c r="AC34" t="n">
        <v>0</v>
      </c>
      <c r="AD34" t="n">
        <v>0</v>
      </c>
      <c r="AE34" t="n">
        <v>0.55</v>
      </c>
      <c r="AF34" t="n">
        <v>32</v>
      </c>
      <c r="AG34" t="n">
        <v>43</v>
      </c>
    </row>
    <row r="35">
      <c r="A35" t="inlineStr">
        <is>
          <t>cave_spider</t>
        </is>
      </c>
      <c r="B35" t="inlineStr">
        <is>
          <t>Araignée des Cavernes</t>
        </is>
      </c>
      <c r="C35" t="n">
        <v>34</v>
      </c>
      <c r="D35" t="inlineStr">
        <is>
          <t>common</t>
        </is>
      </c>
      <c r="E35" t="inlineStr">
        <is>
          <t>agility</t>
        </is>
      </c>
      <c r="F35" t="inlineStr">
        <is>
          <t>dark</t>
        </is>
      </c>
      <c r="G35" t="inlineStr">
        <is>
          <t>spider-face</t>
        </is>
      </c>
      <c r="H35" t="n">
        <v>400</v>
      </c>
      <c r="I35" t="n">
        <v>176</v>
      </c>
      <c r="J35" t="n">
        <v>16</v>
      </c>
      <c r="K35" t="n">
        <v>295</v>
      </c>
      <c r="L35" t="n">
        <v>1580</v>
      </c>
      <c r="M35" t="inlineStr">
        <is>
          <t>Elle tisse des toiles dans les recoins sombres.</t>
        </is>
      </c>
      <c r="N35" t="inlineStr">
        <is>
          <t>caverne</t>
        </is>
      </c>
      <c r="O35" t="b">
        <v>0</v>
      </c>
      <c r="P35" t="inlineStr">
        <is>
          <t>material</t>
        </is>
      </c>
      <c r="Q35" t="inlineStr">
        <is>
          <t>crystal_shard</t>
        </is>
      </c>
      <c r="R35" t="n">
        <v>0.6</v>
      </c>
      <c r="S35" t="n">
        <v>1</v>
      </c>
      <c r="T35" t="n">
        <v>2</v>
      </c>
      <c r="U35" t="inlineStr">
        <is>
          <t>ingredient</t>
        </is>
      </c>
      <c r="V35" t="inlineStr">
        <is>
          <t>cave_moss</t>
        </is>
      </c>
      <c r="W35" t="n">
        <v>0.5</v>
      </c>
      <c r="X35" t="n">
        <v>1</v>
      </c>
      <c r="Y35" t="n">
        <v>2</v>
      </c>
      <c r="AB35" t="n">
        <v>0</v>
      </c>
      <c r="AC35" t="n">
        <v>0</v>
      </c>
      <c r="AD35" t="n">
        <v>0</v>
      </c>
      <c r="AE35" t="n">
        <v>0.55</v>
      </c>
      <c r="AF35" t="n">
        <v>33</v>
      </c>
      <c r="AG35" t="n">
        <v>44</v>
      </c>
    </row>
    <row r="36">
      <c r="A36" t="inlineStr">
        <is>
          <t>mineral_elemental</t>
        </is>
      </c>
      <c r="B36" t="inlineStr">
        <is>
          <t>Elemental Minéral</t>
        </is>
      </c>
      <c r="C36" t="n">
        <v>35</v>
      </c>
      <c r="D36" t="inlineStr">
        <is>
          <t>rare</t>
        </is>
      </c>
      <c r="E36" t="inlineStr">
        <is>
          <t>endurance</t>
        </is>
      </c>
      <c r="F36" t="inlineStr">
        <is>
          <t>water</t>
        </is>
      </c>
      <c r="G36" t="inlineStr">
        <is>
          <t>quartz</t>
        </is>
      </c>
      <c r="H36" t="n">
        <v>800</v>
      </c>
      <c r="I36" t="n">
        <v>220</v>
      </c>
      <c r="J36" t="n">
        <v>35</v>
      </c>
      <c r="K36" t="n">
        <v>380</v>
      </c>
      <c r="L36" t="n">
        <v>1900</v>
      </c>
      <c r="M36" t="inlineStr">
        <is>
          <t>Un être né de la magie des cristaux.</t>
        </is>
      </c>
      <c r="N36" t="inlineStr">
        <is>
          <t>caverne</t>
        </is>
      </c>
      <c r="O36" t="b">
        <v>0</v>
      </c>
      <c r="P36" t="inlineStr">
        <is>
          <t>material</t>
        </is>
      </c>
      <c r="Q36" t="inlineStr">
        <is>
          <t>crystal_shard</t>
        </is>
      </c>
      <c r="R36" t="n">
        <v>0.7</v>
      </c>
      <c r="S36" t="n">
        <v>2</v>
      </c>
      <c r="T36" t="n">
        <v>3</v>
      </c>
      <c r="U36" t="inlineStr">
        <is>
          <t>material</t>
        </is>
      </c>
      <c r="V36" t="inlineStr">
        <is>
          <t>frost_core</t>
        </is>
      </c>
      <c r="W36" t="n">
        <v>0.4</v>
      </c>
      <c r="X36" t="n">
        <v>1</v>
      </c>
      <c r="Y36" t="n">
        <v>1</v>
      </c>
      <c r="AB36" t="n">
        <v>0</v>
      </c>
      <c r="AC36" t="n">
        <v>0</v>
      </c>
      <c r="AD36" t="n">
        <v>0</v>
      </c>
      <c r="AE36" t="n">
        <v>0.35</v>
      </c>
      <c r="AF36" t="n">
        <v>34</v>
      </c>
      <c r="AG36" t="n">
        <v>45</v>
      </c>
    </row>
    <row r="37">
      <c r="A37" t="inlineStr">
        <is>
          <t>obsidian_knight</t>
        </is>
      </c>
      <c r="B37" t="inlineStr">
        <is>
          <t>Chevalier d'Obsidienne</t>
        </is>
      </c>
      <c r="C37" t="n">
        <v>36</v>
      </c>
      <c r="D37" t="inlineStr">
        <is>
          <t>rare</t>
        </is>
      </c>
      <c r="E37" t="inlineStr">
        <is>
          <t>force</t>
        </is>
      </c>
      <c r="F37" t="inlineStr">
        <is>
          <t>fire</t>
        </is>
      </c>
      <c r="G37" t="inlineStr">
        <is>
          <t>knight-helmet</t>
        </is>
      </c>
      <c r="H37" t="n">
        <v>820</v>
      </c>
      <c r="I37" t="n">
        <v>228</v>
      </c>
      <c r="J37" t="n">
        <v>32</v>
      </c>
      <c r="K37" t="n">
        <v>390</v>
      </c>
      <c r="L37" t="n">
        <v>1950</v>
      </c>
      <c r="M37" t="inlineStr">
        <is>
          <t>Son armure absorbe la chaleur des profondeurs.</t>
        </is>
      </c>
      <c r="N37" t="inlineStr">
        <is>
          <t>caverne</t>
        </is>
      </c>
      <c r="O37" t="b">
        <v>0</v>
      </c>
      <c r="P37" t="inlineStr">
        <is>
          <t>material</t>
        </is>
      </c>
      <c r="Q37" t="inlineStr">
        <is>
          <t>obsidian_chip</t>
        </is>
      </c>
      <c r="R37" t="n">
        <v>0.7</v>
      </c>
      <c r="S37" t="n">
        <v>1</v>
      </c>
      <c r="T37" t="n">
        <v>2</v>
      </c>
      <c r="U37" t="inlineStr">
        <is>
          <t>material</t>
        </is>
      </c>
      <c r="V37" t="inlineStr">
        <is>
          <t>crystal_shard</t>
        </is>
      </c>
      <c r="W37" t="n">
        <v>0.5</v>
      </c>
      <c r="X37" t="n">
        <v>2</v>
      </c>
      <c r="Y37" t="n">
        <v>3</v>
      </c>
      <c r="AB37" t="n">
        <v>0</v>
      </c>
      <c r="AC37" t="n">
        <v>0</v>
      </c>
      <c r="AD37" t="n">
        <v>0</v>
      </c>
      <c r="AE37" t="n">
        <v>0.35</v>
      </c>
      <c r="AF37" t="n">
        <v>35</v>
      </c>
      <c r="AG37" t="n">
        <v>46</v>
      </c>
    </row>
    <row r="38">
      <c r="A38" t="inlineStr">
        <is>
          <t>ice_troll</t>
        </is>
      </c>
      <c r="B38" t="inlineStr">
        <is>
          <t>Troll de Givre</t>
        </is>
      </c>
      <c r="C38" t="n">
        <v>37</v>
      </c>
      <c r="D38" t="inlineStr">
        <is>
          <t>rare</t>
        </is>
      </c>
      <c r="E38" t="inlineStr">
        <is>
          <t>endurance</t>
        </is>
      </c>
      <c r="F38" t="inlineStr">
        <is>
          <t>water</t>
        </is>
      </c>
      <c r="G38" t="inlineStr">
        <is>
          <t>troll</t>
        </is>
      </c>
      <c r="H38" t="n">
        <v>850</v>
      </c>
      <c r="I38" t="n">
        <v>236</v>
      </c>
      <c r="J38" t="n">
        <v>38</v>
      </c>
      <c r="K38" t="n">
        <v>400</v>
      </c>
      <c r="L38" t="n">
        <v>2000</v>
      </c>
      <c r="M38" t="inlineStr">
        <is>
          <t>Sa peau de glace repousse les lames.</t>
        </is>
      </c>
      <c r="N38" t="inlineStr">
        <is>
          <t>caverne</t>
        </is>
      </c>
      <c r="O38" t="b">
        <v>0</v>
      </c>
      <c r="P38" t="inlineStr">
        <is>
          <t>material</t>
        </is>
      </c>
      <c r="Q38" t="inlineStr">
        <is>
          <t>frost_core</t>
        </is>
      </c>
      <c r="R38" t="n">
        <v>0.7</v>
      </c>
      <c r="S38" t="n">
        <v>1</v>
      </c>
      <c r="T38" t="n">
        <v>2</v>
      </c>
      <c r="U38" t="inlineStr">
        <is>
          <t>material</t>
        </is>
      </c>
      <c r="V38" t="inlineStr">
        <is>
          <t>crystal_shard</t>
        </is>
      </c>
      <c r="W38" t="n">
        <v>0.5</v>
      </c>
      <c r="X38" t="n">
        <v>1</v>
      </c>
      <c r="Y38" t="n">
        <v>2</v>
      </c>
      <c r="Z38" t="inlineStr">
        <is>
          <t>ingredient</t>
        </is>
      </c>
      <c r="AA38" t="inlineStr">
        <is>
          <t>ice_flower</t>
        </is>
      </c>
      <c r="AB38" t="n">
        <v>0.4</v>
      </c>
      <c r="AC38" t="n">
        <v>1</v>
      </c>
      <c r="AD38" t="n">
        <v>1</v>
      </c>
      <c r="AE38" t="n">
        <v>0.3</v>
      </c>
      <c r="AF38" t="n">
        <v>36</v>
      </c>
      <c r="AG38" t="n">
        <v>47</v>
      </c>
    </row>
    <row r="39">
      <c r="A39" t="inlineStr">
        <is>
          <t>crystal_wolf</t>
        </is>
      </c>
      <c r="B39" t="inlineStr">
        <is>
          <t>Loup de Cristal</t>
        </is>
      </c>
      <c r="C39" t="n">
        <v>38</v>
      </c>
      <c r="D39" t="inlineStr">
        <is>
          <t>rare</t>
        </is>
      </c>
      <c r="E39" t="inlineStr">
        <is>
          <t>agility</t>
        </is>
      </c>
      <c r="F39" t="inlineStr">
        <is>
          <t>water</t>
        </is>
      </c>
      <c r="G39" t="inlineStr">
        <is>
          <t>wolf-head</t>
        </is>
      </c>
      <c r="H39" t="n">
        <v>830</v>
      </c>
      <c r="I39" t="n">
        <v>246</v>
      </c>
      <c r="J39" t="n">
        <v>28</v>
      </c>
      <c r="K39" t="n">
        <v>420</v>
      </c>
      <c r="L39" t="n">
        <v>2100</v>
      </c>
      <c r="M39" t="inlineStr">
        <is>
          <t>Sa fourrure est dure comme du verre.</t>
        </is>
      </c>
      <c r="N39" t="inlineStr">
        <is>
          <t>caverne</t>
        </is>
      </c>
      <c r="O39" t="b">
        <v>0</v>
      </c>
      <c r="P39" t="inlineStr">
        <is>
          <t>material</t>
        </is>
      </c>
      <c r="Q39" t="inlineStr">
        <is>
          <t>crystal_shard</t>
        </is>
      </c>
      <c r="R39" t="n">
        <v>0.7</v>
      </c>
      <c r="S39" t="n">
        <v>2</v>
      </c>
      <c r="T39" t="n">
        <v>3</v>
      </c>
      <c r="U39" t="inlineStr">
        <is>
          <t>ingredient</t>
        </is>
      </c>
      <c r="V39" t="inlineStr">
        <is>
          <t>ice_flower</t>
        </is>
      </c>
      <c r="W39" t="n">
        <v>0.4</v>
      </c>
      <c r="X39" t="n">
        <v>1</v>
      </c>
      <c r="Y39" t="n">
        <v>1</v>
      </c>
      <c r="AB39" t="n">
        <v>0</v>
      </c>
      <c r="AC39" t="n">
        <v>0</v>
      </c>
      <c r="AD39" t="n">
        <v>0</v>
      </c>
      <c r="AE39" t="n">
        <v>0.3</v>
      </c>
      <c r="AF39" t="n">
        <v>37</v>
      </c>
      <c r="AG39" t="n">
        <v>48</v>
      </c>
    </row>
    <row r="40">
      <c r="A40" t="inlineStr">
        <is>
          <t>deep_lurker</t>
        </is>
      </c>
      <c r="B40" t="inlineStr">
        <is>
          <t>Rodeur des Abysses</t>
        </is>
      </c>
      <c r="C40" t="n">
        <v>39</v>
      </c>
      <c r="D40" t="inlineStr">
        <is>
          <t>epic</t>
        </is>
      </c>
      <c r="E40" t="inlineStr">
        <is>
          <t>agility</t>
        </is>
      </c>
      <c r="F40" t="inlineStr">
        <is>
          <t>dark</t>
        </is>
      </c>
      <c r="G40" t="inlineStr">
        <is>
          <t>eye-monster</t>
        </is>
      </c>
      <c r="H40" t="n">
        <v>1150</v>
      </c>
      <c r="I40" t="n">
        <v>318</v>
      </c>
      <c r="J40" t="n">
        <v>28</v>
      </c>
      <c r="K40" t="n">
        <v>520</v>
      </c>
      <c r="L40" t="n">
        <v>2600</v>
      </c>
      <c r="M40" t="inlineStr">
        <is>
          <t>Il n'a pas de forme définie. Il est la peur.</t>
        </is>
      </c>
      <c r="N40" t="inlineStr">
        <is>
          <t>caverne</t>
        </is>
      </c>
      <c r="O40" t="b">
        <v>0</v>
      </c>
      <c r="P40" t="inlineStr">
        <is>
          <t>material</t>
        </is>
      </c>
      <c r="Q40" t="inlineStr">
        <is>
          <t>obsidian_chip</t>
        </is>
      </c>
      <c r="R40" t="n">
        <v>0.6</v>
      </c>
      <c r="S40" t="n">
        <v>1</v>
      </c>
      <c r="T40" t="n">
        <v>2</v>
      </c>
      <c r="U40" t="inlineStr">
        <is>
          <t>ingredient</t>
        </is>
      </c>
      <c r="V40" t="inlineStr">
        <is>
          <t>shadow_dust</t>
        </is>
      </c>
      <c r="W40" t="n">
        <v>0.4</v>
      </c>
      <c r="X40" t="n">
        <v>1</v>
      </c>
      <c r="Y40" t="n">
        <v>1</v>
      </c>
      <c r="AB40" t="n">
        <v>0</v>
      </c>
      <c r="AC40" t="n">
        <v>0</v>
      </c>
      <c r="AD40" t="n">
        <v>0</v>
      </c>
      <c r="AE40" t="n">
        <v>0.2</v>
      </c>
      <c r="AF40" t="n">
        <v>38</v>
      </c>
      <c r="AG40" t="n">
        <v>49</v>
      </c>
    </row>
    <row r="41">
      <c r="A41" t="inlineStr">
        <is>
          <t>cave_dragon</t>
        </is>
      </c>
      <c r="B41" t="inlineStr">
        <is>
          <t>Dragon des Cavernes</t>
        </is>
      </c>
      <c r="C41" t="n">
        <v>40</v>
      </c>
      <c r="D41" t="inlineStr">
        <is>
          <t>epic</t>
        </is>
      </c>
      <c r="E41" t="inlineStr">
        <is>
          <t>force</t>
        </is>
      </c>
      <c r="F41" t="inlineStr">
        <is>
          <t>fire</t>
        </is>
      </c>
      <c r="G41" t="inlineStr">
        <is>
          <t>dragon-head</t>
        </is>
      </c>
      <c r="H41" t="n">
        <v>1300</v>
      </c>
      <c r="I41" t="n">
        <v>330</v>
      </c>
      <c r="J41" t="n">
        <v>40</v>
      </c>
      <c r="K41" t="n">
        <v>550</v>
      </c>
      <c r="L41" t="n">
        <v>2800</v>
      </c>
      <c r="M41" t="inlineStr">
        <is>
          <t>Ses flammes bleues réduisent la pierre en cendres.</t>
        </is>
      </c>
      <c r="N41" t="inlineStr">
        <is>
          <t>caverne</t>
        </is>
      </c>
      <c r="O41" t="b">
        <v>0</v>
      </c>
      <c r="P41" t="inlineStr">
        <is>
          <t>material</t>
        </is>
      </c>
      <c r="Q41" t="inlineStr">
        <is>
          <t>dragon_scale</t>
        </is>
      </c>
      <c r="R41" t="n">
        <v>0.5</v>
      </c>
      <c r="S41" t="n">
        <v>1</v>
      </c>
      <c r="T41" t="n">
        <v>2</v>
      </c>
      <c r="U41" t="inlineStr">
        <is>
          <t>material</t>
        </is>
      </c>
      <c r="V41" t="inlineStr">
        <is>
          <t>obsidian_chip</t>
        </is>
      </c>
      <c r="W41" t="n">
        <v>0.5</v>
      </c>
      <c r="X41" t="n">
        <v>1</v>
      </c>
      <c r="Y41" t="n">
        <v>2</v>
      </c>
      <c r="Z41" t="inlineStr">
        <is>
          <t>ingredient</t>
        </is>
      </c>
      <c r="AA41" t="inlineStr">
        <is>
          <t>shadow_dust</t>
        </is>
      </c>
      <c r="AB41" t="n">
        <v>0.3</v>
      </c>
      <c r="AC41" t="n">
        <v>1</v>
      </c>
      <c r="AD41" t="n">
        <v>1</v>
      </c>
      <c r="AE41" t="n">
        <v>0.2</v>
      </c>
      <c r="AF41" t="n">
        <v>39</v>
      </c>
      <c r="AG41" t="n">
        <v>50</v>
      </c>
    </row>
    <row r="42">
      <c r="A42" t="inlineStr">
        <is>
          <t>frost_giant</t>
        </is>
      </c>
      <c r="B42" t="inlineStr">
        <is>
          <t>Geant de Givre</t>
        </is>
      </c>
      <c r="C42" t="n">
        <v>42</v>
      </c>
      <c r="D42" t="inlineStr">
        <is>
          <t>legendary</t>
        </is>
      </c>
      <c r="E42" t="inlineStr">
        <is>
          <t>endurance</t>
        </is>
      </c>
      <c r="F42" t="inlineStr">
        <is>
          <t>water</t>
        </is>
      </c>
      <c r="G42" t="inlineStr">
        <is>
          <t>giant</t>
        </is>
      </c>
      <c r="H42" t="n">
        <v>2000</v>
      </c>
      <c r="I42" t="n">
        <v>470</v>
      </c>
      <c r="J42" t="n">
        <v>45</v>
      </c>
      <c r="K42" t="n">
        <v>750</v>
      </c>
      <c r="L42" t="n">
        <v>3500</v>
      </c>
      <c r="M42" t="inlineStr">
        <is>
          <t>Sa seule présence fait geler l'air ambiant.</t>
        </is>
      </c>
      <c r="N42" t="inlineStr">
        <is>
          <t>caverne</t>
        </is>
      </c>
      <c r="O42" t="b">
        <v>0</v>
      </c>
      <c r="P42" t="inlineStr">
        <is>
          <t>material</t>
        </is>
      </c>
      <c r="Q42" t="inlineStr">
        <is>
          <t>frost_core</t>
        </is>
      </c>
      <c r="R42" t="n">
        <v>0.7</v>
      </c>
      <c r="S42" t="n">
        <v>2</v>
      </c>
      <c r="T42" t="n">
        <v>3</v>
      </c>
      <c r="U42" t="inlineStr">
        <is>
          <t>ingredient</t>
        </is>
      </c>
      <c r="V42" t="inlineStr">
        <is>
          <t>ice_flower</t>
        </is>
      </c>
      <c r="W42" t="n">
        <v>0.6</v>
      </c>
      <c r="X42" t="n">
        <v>2</v>
      </c>
      <c r="Y42" t="n">
        <v>3</v>
      </c>
      <c r="Z42" t="inlineStr">
        <is>
          <t>material</t>
        </is>
      </c>
      <c r="AA42" t="inlineStr">
        <is>
          <t>dragon_scale</t>
        </is>
      </c>
      <c r="AB42" t="n">
        <v>0.3</v>
      </c>
      <c r="AC42" t="n">
        <v>1</v>
      </c>
      <c r="AD42" t="n">
        <v>1</v>
      </c>
      <c r="AE42" t="n">
        <v>0.1</v>
      </c>
      <c r="AF42" t="n">
        <v>41</v>
      </c>
      <c r="AG42" t="n">
        <v>52</v>
      </c>
    </row>
    <row r="43">
      <c r="A43" t="inlineStr">
        <is>
          <t>shadow_wraith</t>
        </is>
      </c>
      <c r="B43" t="inlineStr">
        <is>
          <t>Spectre des Ombres</t>
        </is>
      </c>
      <c r="C43" t="n">
        <v>44</v>
      </c>
      <c r="D43" t="inlineStr">
        <is>
          <t>legendary</t>
        </is>
      </c>
      <c r="E43" t="inlineStr">
        <is>
          <t>agility</t>
        </is>
      </c>
      <c r="F43" t="inlineStr">
        <is>
          <t>dark</t>
        </is>
      </c>
      <c r="G43" t="inlineStr">
        <is>
          <t>ghost</t>
        </is>
      </c>
      <c r="H43" t="n">
        <v>1900</v>
      </c>
      <c r="I43" t="n">
        <v>502</v>
      </c>
      <c r="J43" t="n">
        <v>35</v>
      </c>
      <c r="K43" t="n">
        <v>780</v>
      </c>
      <c r="L43" t="n">
        <v>3800</v>
      </c>
      <c r="M43" t="inlineStr">
        <is>
          <t>Une âme damnée qui draine le mana des vivants.</t>
        </is>
      </c>
      <c r="N43" t="inlineStr">
        <is>
          <t>caverne</t>
        </is>
      </c>
      <c r="O43" t="b">
        <v>0</v>
      </c>
      <c r="P43" t="inlineStr">
        <is>
          <t>material</t>
        </is>
      </c>
      <c r="Q43" t="inlineStr">
        <is>
          <t>void_essence</t>
        </is>
      </c>
      <c r="R43" t="n">
        <v>0.5</v>
      </c>
      <c r="S43" t="n">
        <v>1</v>
      </c>
      <c r="T43" t="n">
        <v>1</v>
      </c>
      <c r="U43" t="inlineStr">
        <is>
          <t>ingredient</t>
        </is>
      </c>
      <c r="V43" t="inlineStr">
        <is>
          <t>shadow_dust</t>
        </is>
      </c>
      <c r="W43" t="n">
        <v>0.7</v>
      </c>
      <c r="X43" t="n">
        <v>1</v>
      </c>
      <c r="Y43" t="n">
        <v>2</v>
      </c>
      <c r="AB43" t="n">
        <v>0</v>
      </c>
      <c r="AC43" t="n">
        <v>0</v>
      </c>
      <c r="AD43" t="n">
        <v>0</v>
      </c>
      <c r="AE43" t="n">
        <v>0.08</v>
      </c>
      <c r="AF43" t="n">
        <v>43</v>
      </c>
      <c r="AG43" t="n">
        <v>54</v>
      </c>
    </row>
    <row r="44">
      <c r="A44" t="inlineStr">
        <is>
          <t>crystal_hydra</t>
        </is>
      </c>
      <c r="B44" t="inlineStr">
        <is>
          <t>Hydre de Cristal</t>
        </is>
      </c>
      <c r="C44" t="n">
        <v>46</v>
      </c>
      <c r="D44" t="inlineStr">
        <is>
          <t>legendary</t>
        </is>
      </c>
      <c r="E44" t="inlineStr">
        <is>
          <t>endurance</t>
        </is>
      </c>
      <c r="F44" t="inlineStr">
        <is>
          <t>water</t>
        </is>
      </c>
      <c r="G44" t="inlineStr">
        <is>
          <t>hydra</t>
        </is>
      </c>
      <c r="H44" t="n">
        <v>2200</v>
      </c>
      <c r="I44" t="n">
        <v>534</v>
      </c>
      <c r="J44" t="n">
        <v>50</v>
      </c>
      <c r="K44" t="n">
        <v>850</v>
      </c>
      <c r="L44" t="n">
        <v>4200</v>
      </c>
      <c r="M44" t="inlineStr">
        <is>
          <t>Ses têtes repoussent… en plus grosses.</t>
        </is>
      </c>
      <c r="N44" t="inlineStr">
        <is>
          <t>caverne</t>
        </is>
      </c>
      <c r="O44" t="b">
        <v>0</v>
      </c>
      <c r="P44" t="inlineStr">
        <is>
          <t>material</t>
        </is>
      </c>
      <c r="Q44" t="inlineStr">
        <is>
          <t>crystal_shard</t>
        </is>
      </c>
      <c r="R44" t="n">
        <v>0.7</v>
      </c>
      <c r="S44" t="n">
        <v>3</v>
      </c>
      <c r="T44" t="n">
        <v>5</v>
      </c>
      <c r="U44" t="inlineStr">
        <is>
          <t>material</t>
        </is>
      </c>
      <c r="V44" t="inlineStr">
        <is>
          <t>frost_core</t>
        </is>
      </c>
      <c r="W44" t="n">
        <v>0.5</v>
      </c>
      <c r="X44" t="n">
        <v>2</v>
      </c>
      <c r="Y44" t="n">
        <v>3</v>
      </c>
      <c r="Z44" t="inlineStr">
        <is>
          <t>ingredient</t>
        </is>
      </c>
      <c r="AA44" t="inlineStr">
        <is>
          <t>ice_flower</t>
        </is>
      </c>
      <c r="AB44" t="n">
        <v>0.4</v>
      </c>
      <c r="AC44" t="n">
        <v>1</v>
      </c>
      <c r="AD44" t="n">
        <v>2</v>
      </c>
      <c r="AE44" t="n">
        <v>0.07000000000000001</v>
      </c>
      <c r="AF44" t="n">
        <v>45</v>
      </c>
      <c r="AG44" t="n">
        <v>56</v>
      </c>
    </row>
    <row r="45">
      <c r="A45" t="inlineStr">
        <is>
          <t>ancient_golem</t>
        </is>
      </c>
      <c r="B45" t="inlineStr">
        <is>
          <t>Golem Ancien</t>
        </is>
      </c>
      <c r="C45" t="n">
        <v>48</v>
      </c>
      <c r="D45" t="inlineStr">
        <is>
          <t>legendary</t>
        </is>
      </c>
      <c r="E45" t="inlineStr">
        <is>
          <t>endurance</t>
        </is>
      </c>
      <c r="F45" t="inlineStr">
        <is>
          <t>wind</t>
        </is>
      </c>
      <c r="G45" t="inlineStr">
        <is>
          <t>stone-pile</t>
        </is>
      </c>
      <c r="H45" t="n">
        <v>2400</v>
      </c>
      <c r="I45" t="n">
        <v>568</v>
      </c>
      <c r="J45" t="n">
        <v>55</v>
      </c>
      <c r="K45" t="n">
        <v>900</v>
      </c>
      <c r="L45" t="n">
        <v>4500</v>
      </c>
      <c r="M45" t="inlineStr">
        <is>
          <t>Forgé par une civilisation disparue.</t>
        </is>
      </c>
      <c r="N45" t="inlineStr">
        <is>
          <t>caverne</t>
        </is>
      </c>
      <c r="O45" t="b">
        <v>0</v>
      </c>
      <c r="P45" t="inlineStr">
        <is>
          <t>material</t>
        </is>
      </c>
      <c r="Q45" t="inlineStr">
        <is>
          <t>void_essence</t>
        </is>
      </c>
      <c r="R45" t="n">
        <v>0.6</v>
      </c>
      <c r="S45" t="n">
        <v>1</v>
      </c>
      <c r="T45" t="n">
        <v>2</v>
      </c>
      <c r="U45" t="inlineStr">
        <is>
          <t>material</t>
        </is>
      </c>
      <c r="V45" t="inlineStr">
        <is>
          <t>dragon_scale</t>
        </is>
      </c>
      <c r="W45" t="n">
        <v>0.5</v>
      </c>
      <c r="X45" t="n">
        <v>1</v>
      </c>
      <c r="Y45" t="n">
        <v>2</v>
      </c>
      <c r="Z45" t="inlineStr">
        <is>
          <t>ingredient</t>
        </is>
      </c>
      <c r="AA45" t="inlineStr">
        <is>
          <t>shadow_dust</t>
        </is>
      </c>
      <c r="AB45" t="n">
        <v>0.4</v>
      </c>
      <c r="AC45" t="n">
        <v>1</v>
      </c>
      <c r="AD45" t="n">
        <v>2</v>
      </c>
      <c r="AE45" t="n">
        <v>0.06</v>
      </c>
      <c r="AF45" t="n">
        <v>47</v>
      </c>
      <c r="AG45" t="n">
        <v>58</v>
      </c>
    </row>
    <row r="46">
      <c r="A46" t="inlineStr">
        <is>
          <t>glacier_titan</t>
        </is>
      </c>
      <c r="B46" t="inlineStr">
        <is>
          <t>Titan Glaciaire</t>
        </is>
      </c>
      <c r="C46" t="n">
        <v>50</v>
      </c>
      <c r="D46" t="inlineStr">
        <is>
          <t>legendary</t>
        </is>
      </c>
      <c r="E46" t="inlineStr">
        <is>
          <t>endurance</t>
        </is>
      </c>
      <c r="F46" t="inlineStr">
        <is>
          <t>water</t>
        </is>
      </c>
      <c r="G46" t="inlineStr">
        <is>
          <t>giant</t>
        </is>
      </c>
      <c r="H46" t="n">
        <v>3000</v>
      </c>
      <c r="I46" t="n">
        <v>602</v>
      </c>
      <c r="J46" t="n">
        <v>60</v>
      </c>
      <c r="K46" t="n">
        <v>1200</v>
      </c>
      <c r="L46" t="n">
        <v>5500</v>
      </c>
      <c r="M46" t="inlineStr">
        <is>
          <t>Le gardien ultime des profondeurs. Boss régional.</t>
        </is>
      </c>
      <c r="N46" t="inlineStr">
        <is>
          <t>caverne</t>
        </is>
      </c>
      <c r="O46" t="b">
        <v>1</v>
      </c>
      <c r="P46" t="inlineStr">
        <is>
          <t>material</t>
        </is>
      </c>
      <c r="Q46" t="inlineStr">
        <is>
          <t>frost_core</t>
        </is>
      </c>
      <c r="R46" t="n">
        <v>0.8</v>
      </c>
      <c r="S46" t="n">
        <v>3</v>
      </c>
      <c r="T46" t="n">
        <v>5</v>
      </c>
      <c r="U46" t="inlineStr">
        <is>
          <t>material</t>
        </is>
      </c>
      <c r="V46" t="inlineStr">
        <is>
          <t>dragon_scale</t>
        </is>
      </c>
      <c r="W46" t="n">
        <v>0.7</v>
      </c>
      <c r="X46" t="n">
        <v>2</v>
      </c>
      <c r="Y46" t="n">
        <v>4</v>
      </c>
      <c r="Z46" t="inlineStr">
        <is>
          <t>material</t>
        </is>
      </c>
      <c r="AA46" t="inlineStr">
        <is>
          <t>void_essence</t>
        </is>
      </c>
      <c r="AB46" t="n">
        <v>0.5</v>
      </c>
      <c r="AC46" t="n">
        <v>1</v>
      </c>
      <c r="AD46" t="n">
        <v>2</v>
      </c>
      <c r="AE46" t="n">
        <v>0.05</v>
      </c>
      <c r="AF46" t="n">
        <v>49</v>
      </c>
      <c r="AG46" t="n">
        <v>60</v>
      </c>
    </row>
  </sheetData>
  <dataValidations count="8">
    <dataValidation sqref="D2:D200" showDropDown="0" showInputMessage="0" showErrorMessage="1" allowBlank="1" errorTitle="Valeur invalide" error="Valeur non valide" type="list">
      <formula1>"common,rare,epic,legendary"</formula1>
    </dataValidation>
    <dataValidation sqref="E2:E200" showDropDown="0" showInputMessage="0" showErrorMessage="1" allowBlank="1" errorTitle="Valeur invalide" error="Valeur non valide" type="list">
      <formula1>"force,agility,endurance"</formula1>
    </dataValidation>
    <dataValidation sqref="F2:F200" showDropDown="0" showInputMessage="0" showErrorMessage="1" allowBlank="1" errorTitle="Valeur invalide" error="Valeur non valide" type="list">
      <formula1>"fire,wind,water,dark,holy,earth,ice"</formula1>
    </dataValidation>
    <dataValidation sqref="N2:N200" showDropDown="0" showInputMessage="0" showErrorMessage="1" allowBlank="1" errorTitle="Valeur invalide" error="Valeur non valide" type="list">
      <formula1>"foret,marais,caverne"</formula1>
    </dataValidation>
    <dataValidation sqref="O2:O200" showDropDown="0" showInputMessage="0" showErrorMessage="1" allowBlank="1" errorTitle="Valeur invalide" error="Valeur non valide" type="list">
      <formula1>"TRUE,FALSE"</formula1>
    </dataValidation>
    <dataValidation sqref="P2:P200" showDropDown="0" showInputMessage="0" showErrorMessage="1" allowBlank="1" errorTitle="Valeur invalide" error="Valeur non valide" type="list">
      <formula1>"material,ingredient"</formula1>
    </dataValidation>
    <dataValidation sqref="V2:V200" showDropDown="0" showInputMessage="0" showErrorMessage="1" allowBlank="1" errorTitle="Valeur invalide" error="Valeur non valide" type="list">
      <formula1>"material,ingredient"</formula1>
    </dataValidation>
    <dataValidation sqref="AB2:AB200" showDropDown="0" showInputMessage="0" showErrorMessage="1" allowBlank="1" errorTitle="Valeur invalide" error="Valeur non valide" type="list">
      <formula1>"material,ingredient"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8" customWidth="1" min="5" max="5"/>
    <col width="20" customWidth="1" min="6" max="6"/>
    <col width="16" customWidth="1" min="7" max="7"/>
    <col width="14" customWidth="1" min="8" max="8"/>
    <col width="18" customWidth="1" min="9" max="9"/>
    <col width="14" customWidth="1" min="10" max="10"/>
    <col width="18" customWidth="1" min="11" max="11"/>
    <col width="14" customWidth="1" min="12" max="12"/>
    <col width="18" customWidth="1" min="13" max="13"/>
    <col width="35" customWidth="1" min="14" max="14"/>
    <col width="35" customWidth="1" min="15" max="15"/>
  </cols>
  <sheetData>
    <row r="1" ht="16" customHeight="1">
      <c r="A1" s="115" t="inlineStr">
        <is>
          <t>🆔 RÉFÉRENCE BOSS</t>
        </is>
      </c>
      <c r="C1" s="116" t="inlineStr">
        <is>
          <t>⚡ MÉCANIQUE</t>
        </is>
      </c>
      <c r="F1" s="117" t="inlineStr">
        <is>
          <t>⏱️ DÉCLENCHEUR</t>
        </is>
      </c>
      <c r="I1" s="118" t="inlineStr">
        <is>
          <t>🎛️ PARAMÈTRES</t>
        </is>
      </c>
      <c r="M1" s="119" t="inlineStr">
        <is>
          <t>🎨 PRÉSENTATION</t>
        </is>
      </c>
      <c r="O1" s="120" t="inlineStr">
        <is>
          <t>📝 NOTES</t>
        </is>
      </c>
    </row>
    <row r="2" ht="40" customHeight="1">
      <c r="A2" s="121" t="inlineStr">
        <is>
          <t>ID Boss
(snake_case)</t>
        </is>
      </c>
      <c r="B2" s="121" t="inlineStr">
        <is>
          <t>Rareté
boss</t>
        </is>
      </c>
      <c r="C2" s="122" t="inlineStr">
        <is>
          <t>ID Mécanique
(snake_case)</t>
        </is>
      </c>
      <c r="D2" s="122" t="inlineStr">
        <is>
          <t>Nom affiché
(français)</t>
        </is>
      </c>
      <c r="E2" s="122" t="inlineStr">
        <is>
          <t>Famille
(offensif/défensif…)</t>
        </is>
      </c>
      <c r="F2" s="123" t="inlineStr">
        <is>
          <t>Déclencheur
(always/phase2…)</t>
        </is>
      </c>
      <c r="G2" s="123" t="inlineStr">
        <is>
          <t>Seuil PV
(% déclenchement)</t>
        </is>
      </c>
      <c r="H2" s="123" t="inlineStr">
        <is>
          <t>Tour N°
(déclenchement)</t>
        </is>
      </c>
      <c r="I2" s="124" t="inlineStr">
        <is>
          <t>Param 1
(nom)</t>
        </is>
      </c>
      <c r="J2" s="124" t="inlineStr">
        <is>
          <t>Param 1
(valeur)</t>
        </is>
      </c>
      <c r="K2" s="124" t="inlineStr">
        <is>
          <t>Param 2
(nom)</t>
        </is>
      </c>
      <c r="L2" s="124" t="inlineStr">
        <is>
          <t>Param 2
(valeur)</t>
        </is>
      </c>
      <c r="M2" s="125" t="inlineStr">
        <is>
          <t>Icône
mécanique</t>
        </is>
      </c>
      <c r="N2" s="125" t="inlineStr">
        <is>
          <t>Message
affiché joueur</t>
        </is>
      </c>
      <c r="O2" s="126" t="inlineStr">
        <is>
          <t>Notes Game
Design</t>
        </is>
      </c>
    </row>
    <row r="3" ht="22" customHeight="1">
      <c r="A3" s="127" t="inlineStr">
        <is>
          <t>goblin_woods</t>
        </is>
      </c>
      <c r="B3" s="128" t="inlineStr">
        <is>
          <t>common</t>
        </is>
      </c>
      <c r="C3" s="127" t="inlineStr">
        <is>
          <t>none</t>
        </is>
      </c>
      <c r="D3" s="129" t="inlineStr">
        <is>
          <t>(aucune mécanique)</t>
        </is>
      </c>
      <c r="E3" s="127" t="inlineStr">
        <is>
          <t>—</t>
        </is>
      </c>
      <c r="F3" s="127" t="inlineStr">
        <is>
          <t>—</t>
        </is>
      </c>
      <c r="G3" s="127" t="n"/>
      <c r="H3" s="127" t="n"/>
      <c r="I3" s="127" t="n"/>
      <c r="J3" s="127" t="n"/>
      <c r="K3" s="127" t="n"/>
      <c r="L3" s="127" t="n"/>
      <c r="M3" s="127" t="inlineStr">
        <is>
          <t>—</t>
        </is>
      </c>
      <c r="N3" s="129" t="inlineStr">
        <is>
          <t>—</t>
        </is>
      </c>
      <c r="O3" s="129" t="inlineStr">
        <is>
          <t>Les boss common n'ont pas de mécaniques spéciales.</t>
        </is>
      </c>
    </row>
    <row r="4" ht="22" customHeight="1">
      <c r="A4" s="127" t="inlineStr">
        <is>
          <t>wolf_alpha</t>
        </is>
      </c>
      <c r="B4" s="128" t="inlineStr">
        <is>
          <t>common</t>
        </is>
      </c>
      <c r="C4" s="127" t="inlineStr">
        <is>
          <t>none</t>
        </is>
      </c>
      <c r="D4" s="129" t="inlineStr">
        <is>
          <t>(aucune mécanique)</t>
        </is>
      </c>
      <c r="E4" s="127" t="inlineStr">
        <is>
          <t>—</t>
        </is>
      </c>
      <c r="F4" s="127" t="inlineStr">
        <is>
          <t>—</t>
        </is>
      </c>
      <c r="G4" s="127" t="n"/>
      <c r="H4" s="127" t="n"/>
      <c r="I4" s="127" t="n"/>
      <c r="J4" s="127" t="n"/>
      <c r="K4" s="127" t="n"/>
      <c r="L4" s="127" t="n"/>
      <c r="M4" s="127" t="inlineStr">
        <is>
          <t>—</t>
        </is>
      </c>
      <c r="N4" s="129" t="inlineStr">
        <is>
          <t>—</t>
        </is>
      </c>
      <c r="O4" s="129" t="inlineStr">
        <is>
          <t>Les boss common n'ont pas de mécaniques spéciales.</t>
        </is>
      </c>
    </row>
    <row r="5" ht="22" customHeight="1">
      <c r="A5" s="130" t="inlineStr">
        <is>
          <t>bear_brown</t>
        </is>
      </c>
      <c r="B5" s="131" t="inlineStr">
        <is>
          <t>rare</t>
        </is>
      </c>
      <c r="C5" s="130" t="inlineStr">
        <is>
          <t>double_attack</t>
        </is>
      </c>
      <c r="D5" s="132" t="inlineStr">
        <is>
          <t>Double Attaque</t>
        </is>
      </c>
      <c r="E5" s="130" t="inlineStr">
        <is>
          <t>offensif</t>
        </is>
      </c>
      <c r="F5" s="130" t="inlineStr">
        <is>
          <t>always</t>
        </is>
      </c>
      <c r="G5" s="130" t="n"/>
      <c r="H5" s="130" t="n"/>
      <c r="I5" s="130" t="inlineStr">
        <is>
          <t>prob_double</t>
        </is>
      </c>
      <c r="J5" s="130" t="n">
        <v>0.3</v>
      </c>
      <c r="K5" s="130" t="n"/>
      <c r="L5" s="130" t="n"/>
      <c r="M5" s="130" t="inlineStr">
        <is>
          <t>crossed-swords</t>
        </is>
      </c>
      <c r="N5" s="133" t="inlineStr">
        <is>
          <t>🐻 L'ours frappe deux fois !</t>
        </is>
      </c>
      <c r="O5" s="133" t="inlineStr">
        <is>
          <t>30% de chance d'attaquer deux fois par tour. S'active dès le début.</t>
        </is>
      </c>
    </row>
    <row r="6" ht="22" customHeight="1">
      <c r="A6" s="130" t="inlineStr">
        <is>
          <t>witch_woods</t>
        </is>
      </c>
      <c r="B6" s="131" t="inlineStr">
        <is>
          <t>rare</t>
        </is>
      </c>
      <c r="C6" s="130" t="inlineStr">
        <is>
          <t>poison</t>
        </is>
      </c>
      <c r="D6" s="132" t="inlineStr">
        <is>
          <t>Poison</t>
        </is>
      </c>
      <c r="E6" s="130" t="inlineStr">
        <is>
          <t>offensif</t>
        </is>
      </c>
      <c r="F6" s="130" t="inlineStr">
        <is>
          <t>always</t>
        </is>
      </c>
      <c r="G6" s="130" t="n"/>
      <c r="H6" s="130" t="n"/>
      <c r="I6" s="130" t="inlineStr">
        <is>
          <t>dmg_per_turn</t>
        </is>
      </c>
      <c r="J6" s="130" t="n">
        <v>5</v>
      </c>
      <c r="K6" s="130" t="inlineStr">
        <is>
          <t>duration_turns</t>
        </is>
      </c>
      <c r="L6" s="130" t="n">
        <v>3</v>
      </c>
      <c r="M6" s="130" t="inlineStr">
        <is>
          <t>poison</t>
        </is>
      </c>
      <c r="N6" s="133" t="inlineStr">
        <is>
          <t>🧪 Empoisonné ! Tu perds des PV chaque tour.</t>
        </is>
      </c>
      <c r="O6" s="133" t="inlineStr">
        <is>
          <t>Applique poison : -5 PV/tour pendant 3 tours. Non-cumulable.</t>
        </is>
      </c>
    </row>
    <row r="7" ht="22" customHeight="1">
      <c r="A7" s="130" t="inlineStr">
        <is>
          <t>giant_boar</t>
        </is>
      </c>
      <c r="B7" s="131" t="inlineStr">
        <is>
          <t>rare</t>
        </is>
      </c>
      <c r="C7" s="130" t="inlineStr">
        <is>
          <t>charge</t>
        </is>
      </c>
      <c r="D7" s="132" t="inlineStr">
        <is>
          <t>Charge Furieuse</t>
        </is>
      </c>
      <c r="E7" s="130" t="inlineStr">
        <is>
          <t>offensif</t>
        </is>
      </c>
      <c r="F7" s="130" t="inlineStr">
        <is>
          <t>on_turn</t>
        </is>
      </c>
      <c r="G7" s="130" t="n"/>
      <c r="H7" s="130" t="n">
        <v>3</v>
      </c>
      <c r="I7" s="130" t="inlineStr">
        <is>
          <t>dmg_multiplier</t>
        </is>
      </c>
      <c r="J7" s="130" t="n">
        <v>2</v>
      </c>
      <c r="K7" s="130" t="n"/>
      <c r="L7" s="130" t="n"/>
      <c r="M7" s="130" t="inlineStr">
        <is>
          <t>charging-bull</t>
        </is>
      </c>
      <c r="N7" s="133" t="inlineStr">
        <is>
          <t>🐗 Le sanglier charge ! Dégâts doublés !</t>
        </is>
      </c>
      <c r="O7" s="133" t="inlineStr">
        <is>
          <t>Tous les 3 tours, attaque avec dégâts × 2.</t>
        </is>
      </c>
    </row>
    <row r="8" ht="22" customHeight="1">
      <c r="A8" s="134" t="inlineStr">
        <is>
          <t>wolf_king</t>
        </is>
      </c>
      <c r="B8" s="135" t="inlineStr">
        <is>
          <t>epic</t>
        </is>
      </c>
      <c r="C8" s="134" t="inlineStr">
        <is>
          <t>fury_mode</t>
        </is>
      </c>
      <c r="D8" s="136" t="inlineStr">
        <is>
          <t>Mode Fury</t>
        </is>
      </c>
      <c r="E8" s="134" t="inlineStr">
        <is>
          <t>offensif</t>
        </is>
      </c>
      <c r="F8" s="134" t="inlineStr">
        <is>
          <t>phase2</t>
        </is>
      </c>
      <c r="G8" s="134" t="n">
        <v>50</v>
      </c>
      <c r="H8" s="134" t="n"/>
      <c r="I8" s="134" t="inlineStr">
        <is>
          <t>attack_bonus</t>
        </is>
      </c>
      <c r="J8" s="134" t="n">
        <v>1.5</v>
      </c>
      <c r="K8" s="134" t="inlineStr">
        <is>
          <t>defense_malus</t>
        </is>
      </c>
      <c r="L8" s="134" t="n">
        <v>0.8</v>
      </c>
      <c r="M8" s="134" t="inlineStr">
        <is>
          <t>werewolf</t>
        </is>
      </c>
      <c r="N8" s="137" t="inlineStr">
        <is>
          <t>🐺 Le Roi Loup entre en FURY ! ATK +50%, DEF -20%</t>
        </is>
      </c>
      <c r="O8" s="137" t="inlineStr">
        <is>
          <t>En dessous de 50% PV : attaque × 1.5, défense × 0.8. Effet permanent jusqu'à fin combat.</t>
        </is>
      </c>
    </row>
    <row r="9" ht="22" customHeight="1">
      <c r="A9" s="134" t="inlineStr">
        <is>
          <t>wolf_king</t>
        </is>
      </c>
      <c r="B9" s="135" t="inlineStr">
        <is>
          <t>epic</t>
        </is>
      </c>
      <c r="C9" s="134" t="inlineStr">
        <is>
          <t>howl</t>
        </is>
      </c>
      <c r="D9" s="136" t="inlineStr">
        <is>
          <t>Hurlement Alpha</t>
        </is>
      </c>
      <c r="E9" s="134" t="inlineStr">
        <is>
          <t>support</t>
        </is>
      </c>
      <c r="F9" s="134" t="inlineStr">
        <is>
          <t>on_turn</t>
        </is>
      </c>
      <c r="G9" s="134" t="n"/>
      <c r="H9" s="134" t="n">
        <v>5</v>
      </c>
      <c r="I9" s="134" t="inlineStr">
        <is>
          <t>hp_regen</t>
        </is>
      </c>
      <c r="J9" s="134" t="n">
        <v>15</v>
      </c>
      <c r="K9" s="134" t="n"/>
      <c r="L9" s="134" t="n"/>
      <c r="M9" s="134" t="inlineStr">
        <is>
          <t>wolf-howl</t>
        </is>
      </c>
      <c r="N9" s="137" t="inlineStr">
        <is>
          <t>🐺 Le Roi Loup hurle et récupère de l'énergie !</t>
        </is>
      </c>
      <c r="O9" s="137" t="inlineStr">
        <is>
          <t>Tous les 5 tours, regagne 15 PV.</t>
        </is>
      </c>
    </row>
    <row r="10" ht="22" customHeight="1">
      <c r="A10" s="134" t="inlineStr">
        <is>
          <t>cursed_fairy</t>
        </is>
      </c>
      <c r="B10" s="135" t="inlineStr">
        <is>
          <t>epic</t>
        </is>
      </c>
      <c r="C10" s="134" t="inlineStr">
        <is>
          <t>mana_drain</t>
        </is>
      </c>
      <c r="D10" s="136" t="inlineStr">
        <is>
          <t>Aspiration de Mana</t>
        </is>
      </c>
      <c r="E10" s="134" t="inlineStr">
        <is>
          <t>offensif</t>
        </is>
      </c>
      <c r="F10" s="134" t="inlineStr">
        <is>
          <t>always</t>
        </is>
      </c>
      <c r="G10" s="134" t="n"/>
      <c r="H10" s="134" t="n"/>
      <c r="I10" s="134" t="inlineStr">
        <is>
          <t>mana_stolen</t>
        </is>
      </c>
      <c r="J10" s="134" t="n">
        <v>15</v>
      </c>
      <c r="K10" s="134" t="inlineStr">
        <is>
          <t>self_heal_ratio</t>
        </is>
      </c>
      <c r="L10" s="134" t="n">
        <v>0.5</v>
      </c>
      <c r="M10" s="134" t="inlineStr">
        <is>
          <t>fairy-wand</t>
        </is>
      </c>
      <c r="N10" s="137" t="inlineStr">
        <is>
          <t>🧚 La fée aspire ta mana ! (-15 mana, elle se soigne)</t>
        </is>
      </c>
      <c r="O10" s="137" t="inlineStr">
        <is>
          <t>Chaque attaque vole 15 mana au joueur. La fée récupère 50% en PV.</t>
        </is>
      </c>
    </row>
    <row r="11" ht="22" customHeight="1">
      <c r="A11" s="134" t="inlineStr">
        <is>
          <t>cursed_fairy</t>
        </is>
      </c>
      <c r="B11" s="135" t="inlineStr">
        <is>
          <t>epic</t>
        </is>
      </c>
      <c r="C11" s="134" t="inlineStr">
        <is>
          <t>poison</t>
        </is>
      </c>
      <c r="D11" s="136" t="inlineStr">
        <is>
          <t>Poudre Maudite</t>
        </is>
      </c>
      <c r="E11" s="134" t="inlineStr">
        <is>
          <t>offensif</t>
        </is>
      </c>
      <c r="F11" s="134" t="inlineStr">
        <is>
          <t>phase2</t>
        </is>
      </c>
      <c r="G11" s="134" t="n">
        <v>40</v>
      </c>
      <c r="H11" s="134" t="n"/>
      <c r="I11" s="134" t="inlineStr">
        <is>
          <t>dmg_per_turn</t>
        </is>
      </c>
      <c r="J11" s="134" t="n">
        <v>8</v>
      </c>
      <c r="K11" s="134" t="inlineStr">
        <is>
          <t>duration_turns</t>
        </is>
      </c>
      <c r="L11" s="134" t="n">
        <v>4</v>
      </c>
      <c r="M11" s="134" t="inlineStr">
        <is>
          <t>fairy-wand</t>
        </is>
      </c>
      <c r="N11" s="137" t="inlineStr">
        <is>
          <t>🧚 Poudre maudite ! Poison renforcé !</t>
        </is>
      </c>
      <c r="O11" s="137" t="inlineStr">
        <is>
          <t>Phase 2 (&lt;40% PV) : poison amélioré, 8 PV/tour pendant 4 tours.</t>
        </is>
      </c>
    </row>
    <row r="12" ht="22" customHeight="1">
      <c r="A12" s="134" t="inlineStr">
        <is>
          <t>swamp_troll</t>
        </is>
      </c>
      <c r="B12" s="135" t="inlineStr">
        <is>
          <t>epic</t>
        </is>
      </c>
      <c r="C12" s="134" t="inlineStr">
        <is>
          <t>hp_regen</t>
        </is>
      </c>
      <c r="D12" s="136" t="inlineStr">
        <is>
          <t>Régénération Trollesque</t>
        </is>
      </c>
      <c r="E12" s="134" t="inlineStr">
        <is>
          <t>défensif</t>
        </is>
      </c>
      <c r="F12" s="134" t="inlineStr">
        <is>
          <t>on_turn</t>
        </is>
      </c>
      <c r="G12" s="134" t="n"/>
      <c r="H12" s="134" t="n">
        <v>2</v>
      </c>
      <c r="I12" s="134" t="inlineStr">
        <is>
          <t>hp_regen_amount</t>
        </is>
      </c>
      <c r="J12" s="134" t="n">
        <v>12</v>
      </c>
      <c r="K12" s="134" t="n"/>
      <c r="L12" s="134" t="n"/>
      <c r="M12" s="134" t="inlineStr">
        <is>
          <t>healing</t>
        </is>
      </c>
      <c r="N12" s="137" t="inlineStr">
        <is>
          <t>🧌 Le troll se régénère ! (+12 PV)</t>
        </is>
      </c>
      <c r="O12" s="137" t="inlineStr">
        <is>
          <t>Tous les 2 tours, régénère 12 PV. Rend le combat long si pas d'accélération.</t>
        </is>
      </c>
    </row>
    <row r="13" ht="22" customHeight="1">
      <c r="A13" s="134" t="inlineStr">
        <is>
          <t>swamp_troll</t>
        </is>
      </c>
      <c r="B13" s="135" t="inlineStr">
        <is>
          <t>epic</t>
        </is>
      </c>
      <c r="C13" s="134" t="inlineStr">
        <is>
          <t>shield</t>
        </is>
      </c>
      <c r="D13" s="136" t="inlineStr">
        <is>
          <t>Cuir Épais</t>
        </is>
      </c>
      <c r="E13" s="134" t="inlineStr">
        <is>
          <t>défensif</t>
        </is>
      </c>
      <c r="F13" s="134" t="inlineStr">
        <is>
          <t>phase2</t>
        </is>
      </c>
      <c r="G13" s="134" t="n">
        <v>60</v>
      </c>
      <c r="H13" s="134" t="n"/>
      <c r="I13" s="134" t="inlineStr">
        <is>
          <t>defense_bonus</t>
        </is>
      </c>
      <c r="J13" s="134" t="n">
        <v>10</v>
      </c>
      <c r="K13" s="134" t="n"/>
      <c r="L13" s="134" t="n"/>
      <c r="M13" s="134" t="inlineStr">
        <is>
          <t>round-shield</t>
        </is>
      </c>
      <c r="N13" s="137" t="inlineStr">
        <is>
          <t>🧌 La peau du troll durcit ! (+10 Défense)</t>
        </is>
      </c>
      <c r="O13" s="137" t="inlineStr">
        <is>
          <t>En dessous de 60% PV, la défense augmente de +10 (permanent).</t>
        </is>
      </c>
    </row>
    <row r="14" ht="22" customHeight="1">
      <c r="A14" s="138" t="inlineStr">
        <is>
          <t>corrupted_dryad</t>
        </is>
      </c>
      <c r="B14" s="139" t="inlineStr">
        <is>
          <t>legendary</t>
        </is>
      </c>
      <c r="C14" s="138" t="inlineStr">
        <is>
          <t>transformation</t>
        </is>
      </c>
      <c r="D14" s="140" t="inlineStr">
        <is>
          <t>Métamorphose Corrompue</t>
        </is>
      </c>
      <c r="E14" s="138" t="inlineStr">
        <is>
          <t>spécial</t>
        </is>
      </c>
      <c r="F14" s="138" t="inlineStr">
        <is>
          <t>phase2</t>
        </is>
      </c>
      <c r="G14" s="138" t="n">
        <v>50</v>
      </c>
      <c r="H14" s="138" t="n"/>
      <c r="I14" s="138" t="inlineStr">
        <is>
          <t>new_form</t>
        </is>
      </c>
      <c r="J14" s="138" t="inlineStr">
        <is>
          <t>dryad_rage</t>
        </is>
      </c>
      <c r="K14" s="138" t="inlineStr">
        <is>
          <t>stat_multiplier</t>
        </is>
      </c>
      <c r="L14" s="138" t="n">
        <v>1.4</v>
      </c>
      <c r="M14" s="138" t="inlineStr">
        <is>
          <t>tree-face</t>
        </is>
      </c>
      <c r="N14" s="141" t="inlineStr">
        <is>
          <t>🌿 LA DRYADE SE TRANSFORME ! Toutes ses stats +40% !</t>
        </is>
      </c>
      <c r="O14" s="141" t="inlineStr">
        <is>
          <t>À 50% PV : transformation visuelle + toutes stats × 1.4. Nouveau sprite recommandé.</t>
        </is>
      </c>
    </row>
    <row r="15" ht="22" customHeight="1">
      <c r="A15" s="138" t="inlineStr">
        <is>
          <t>corrupted_dryad</t>
        </is>
      </c>
      <c r="B15" s="139" t="inlineStr">
        <is>
          <t>legendary</t>
        </is>
      </c>
      <c r="C15" s="138" t="inlineStr">
        <is>
          <t>fury_mode</t>
        </is>
      </c>
      <c r="D15" s="140" t="inlineStr">
        <is>
          <t>Rage de la Forêt</t>
        </is>
      </c>
      <c r="E15" s="138" t="inlineStr">
        <is>
          <t>offensif</t>
        </is>
      </c>
      <c r="F15" s="138" t="inlineStr">
        <is>
          <t>phase2</t>
        </is>
      </c>
      <c r="G15" s="138" t="n">
        <v>30</v>
      </c>
      <c r="H15" s="138" t="n"/>
      <c r="I15" s="138" t="inlineStr">
        <is>
          <t>attack_bonus</t>
        </is>
      </c>
      <c r="J15" s="138" t="n">
        <v>2</v>
      </c>
      <c r="K15" s="138" t="inlineStr">
        <is>
          <t>speed_bonus</t>
        </is>
      </c>
      <c r="L15" s="138" t="n">
        <v>1.3</v>
      </c>
      <c r="M15" s="138" t="inlineStr">
        <is>
          <t>fire-tree</t>
        </is>
      </c>
      <c r="N15" s="141" t="inlineStr">
        <is>
          <t>🌿 RAGE ! La dryade attaque frénétiquement !</t>
        </is>
      </c>
      <c r="O15" s="141" t="inlineStr">
        <is>
          <t>Phase 3 (&lt;30% PV) : attaque × 2, vitesse × 1.3. Danger maximal.</t>
        </is>
      </c>
    </row>
    <row r="16" ht="22" customHeight="1">
      <c r="A16" s="138" t="inlineStr">
        <is>
          <t>corrupted_dryad</t>
        </is>
      </c>
      <c r="B16" s="139" t="inlineStr">
        <is>
          <t>legendary</t>
        </is>
      </c>
      <c r="C16" s="138" t="inlineStr">
        <is>
          <t>summon</t>
        </is>
      </c>
      <c r="D16" s="140" t="inlineStr">
        <is>
          <t>Invocation de Lianes</t>
        </is>
      </c>
      <c r="E16" s="138" t="inlineStr">
        <is>
          <t>support</t>
        </is>
      </c>
      <c r="F16" s="138" t="inlineStr">
        <is>
          <t>on_turn</t>
        </is>
      </c>
      <c r="G16" s="138" t="n"/>
      <c r="H16" s="138" t="n">
        <v>4</v>
      </c>
      <c r="I16" s="138" t="inlineStr">
        <is>
          <t>summon_type</t>
        </is>
      </c>
      <c r="J16" s="138" t="inlineStr">
        <is>
          <t>vine_trap</t>
        </is>
      </c>
      <c r="K16" s="138" t="inlineStr">
        <is>
          <t>trap_dmg_per_turn</t>
        </is>
      </c>
      <c r="L16" s="138" t="n">
        <v>6</v>
      </c>
      <c r="M16" s="138" t="inlineStr">
        <is>
          <t>vine-whip</t>
        </is>
      </c>
      <c r="N16" s="141" t="inlineStr">
        <is>
          <t>🌿 Des lianes jaillissent ! Tu es piégé·e ! (-6 PV/tour)</t>
        </is>
      </c>
      <c r="O16" s="141" t="inlineStr">
        <is>
          <t>Tous les 4 tours : pièges lianes infligent 6 PV/tour au joueur pendant 2 tours.</t>
        </is>
      </c>
    </row>
    <row r="17" ht="22" customHeight="1">
      <c r="A17" s="138" t="inlineStr">
        <is>
          <t>corrupted_dryad</t>
        </is>
      </c>
      <c r="B17" s="139" t="inlineStr">
        <is>
          <t>legendary</t>
        </is>
      </c>
      <c r="C17" s="138" t="inlineStr">
        <is>
          <t>custom_music</t>
        </is>
      </c>
      <c r="D17" s="140" t="inlineStr">
        <is>
          <t>Musique Corrompue</t>
        </is>
      </c>
      <c r="E17" s="138" t="inlineStr">
        <is>
          <t>ambiance</t>
        </is>
      </c>
      <c r="F17" s="138" t="inlineStr">
        <is>
          <t>always</t>
        </is>
      </c>
      <c r="G17" s="138" t="n"/>
      <c r="H17" s="138" t="n"/>
      <c r="I17" s="138" t="inlineStr">
        <is>
          <t>music_file</t>
        </is>
      </c>
      <c r="J17" s="138" t="inlineStr">
        <is>
          <t>boss_corrupted_dryad.mp3</t>
        </is>
      </c>
      <c r="K17" s="138" t="inlineStr">
        <is>
          <t>loop</t>
        </is>
      </c>
      <c r="L17" s="138" t="n">
        <v>1</v>
      </c>
      <c r="M17" s="138" t="inlineStr">
        <is>
          <t>music-spell</t>
        </is>
      </c>
      <c r="N17" s="141" t="inlineStr">
        <is>
          <t>(Son ambiancé activé en combat)</t>
        </is>
      </c>
      <c r="O17" s="141" t="inlineStr">
        <is>
          <t>Musique spécifique pour ce boss légendaire. Doit être dans /public/sounds/boss/.</t>
        </is>
      </c>
    </row>
    <row r="18" ht="22" customHeight="1">
      <c r="A18" s="138" t="inlineStr">
        <is>
          <t>corrupted_dryad</t>
        </is>
      </c>
      <c r="B18" s="139" t="inlineStr">
        <is>
          <t>legendary</t>
        </is>
      </c>
      <c r="C18" s="138" t="inlineStr">
        <is>
          <t>hp_regen</t>
        </is>
      </c>
      <c r="D18" s="140" t="inlineStr">
        <is>
          <t>Photosynthèse Corrompue</t>
        </is>
      </c>
      <c r="E18" s="138" t="inlineStr">
        <is>
          <t>défensif</t>
        </is>
      </c>
      <c r="F18" s="138" t="inlineStr">
        <is>
          <t>on_turn</t>
        </is>
      </c>
      <c r="G18" s="138" t="n"/>
      <c r="H18" s="138" t="n">
        <v>3</v>
      </c>
      <c r="I18" s="138" t="inlineStr">
        <is>
          <t>hp_regen_amount</t>
        </is>
      </c>
      <c r="J18" s="138" t="n">
        <v>20</v>
      </c>
      <c r="K18" s="138" t="inlineStr">
        <is>
          <t>condition</t>
        </is>
      </c>
      <c r="L18" s="138" t="inlineStr">
        <is>
          <t>phase1_only</t>
        </is>
      </c>
      <c r="M18" s="138" t="inlineStr">
        <is>
          <t>healing-seeds</t>
        </is>
      </c>
      <c r="N18" s="141" t="inlineStr">
        <is>
          <t>🌿 La dryade absorbe la lumière corrompue… (+20 PV)</t>
        </is>
      </c>
      <c r="O18" s="141" t="inlineStr">
        <is>
          <t>Phase 1 seulement (&gt;50% PV) : régénère 20 PV tous les 3 tours.</t>
        </is>
      </c>
    </row>
    <row r="20" ht="18" customHeight="1">
      <c r="A20" s="142" t="inlineStr">
        <is>
          <t>⚡ DÉCLENCHEURS : always=toujours | phase2=sous X% PV | on_turn=chaque N tours | chance=probabilité  — FAMILLES : offensif | défensif | support | spécial | ambiance  — RARITÉ → COMPLEXITÉ : common=0 mec | rare=1 | epic=2-3 | legendary=4+</t>
        </is>
      </c>
    </row>
  </sheetData>
  <mergeCells count="7">
    <mergeCell ref="C1:E1"/>
    <mergeCell ref="A20:O20"/>
    <mergeCell ref="I1:L1"/>
    <mergeCell ref="F1:H1"/>
    <mergeCell ref="A1:B1"/>
    <mergeCell ref="M1:N1"/>
    <mergeCell ref="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8" customWidth="1" min="4" max="4"/>
    <col width="18" customWidth="1" min="5" max="5"/>
    <col width="12" customWidth="1" min="6" max="6"/>
    <col width="18" customWidth="1" min="7" max="7"/>
    <col width="18" customWidth="1" min="8" max="8"/>
    <col width="14" customWidth="1" min="9" max="9"/>
    <col width="14" customWidth="1" min="10" max="10"/>
    <col width="16" customWidth="1" min="11" max="11"/>
    <col width="16" customWidth="1" min="12" max="12"/>
    <col width="13" customWidth="1" min="13" max="13"/>
    <col width="13" customWidth="1" min="14" max="14"/>
    <col width="16" customWidth="1" min="15" max="15"/>
    <col width="14" customWidth="1" min="16" max="16"/>
    <col width="35" customWidth="1" min="17" max="17"/>
    <col width="30" customWidth="1" min="18" max="18"/>
    <col width="60" customWidth="1" min="21" max="21"/>
    <col width="60" customWidth="1" min="22" max="22"/>
  </cols>
  <sheetData>
    <row r="1" ht="16" customHeight="1">
      <c r="A1" s="143" t="inlineStr">
        <is>
          <t>🆔 IDENTITÉ</t>
        </is>
      </c>
      <c r="E1" s="144" t="inlineStr">
        <is>
          <t>📊 CLASSIFICATION</t>
        </is>
      </c>
      <c r="I1" s="145" t="inlineStr">
        <is>
          <t>⭐ GAMEPLAY</t>
        </is>
      </c>
      <c r="T1" s="120" t="inlineStr">
        <is>
          <t>📝 INFO</t>
        </is>
      </c>
      <c r="U1" t="inlineStr">
        <is>
          <t>🎞 MÉDIAS</t>
        </is>
      </c>
    </row>
    <row r="2" ht="36" customHeight="1">
      <c r="A2" s="147" t="inlineStr">
        <is>
          <t>id
(snake_case)</t>
        </is>
      </c>
      <c r="B2" s="147" t="inlineStr">
        <is>
          <t>Nom affiché
(français)</t>
        </is>
      </c>
      <c r="C2" s="147" t="inlineStr">
        <is>
          <t>Icône
(game-icons.net)</t>
        </is>
      </c>
      <c r="D2" s="147" t="inlineStr">
        <is>
          <t>Catégorie
(force/cardio…)</t>
        </is>
      </c>
      <c r="E2" s="148" t="inlineStr">
        <is>
          <t>Groupe
musculaire</t>
        </is>
      </c>
      <c r="F2" s="148" t="inlineStr">
        <is>
          <t>Difficulté
(1-5)</t>
        </is>
      </c>
      <c r="G2" s="148" t="inlineStr">
        <is>
          <t>Est chronométré ?
(OUI/NON)</t>
        </is>
      </c>
      <c r="H2" s="148" t="inlineStr">
        <is>
          <t>Équipement
nécessaire</t>
        </is>
      </c>
      <c r="I2" s="149" t="inlineStr">
        <is>
          <t>XP / répétition</t>
        </is>
      </c>
      <c r="J2" s="149" t="inlineStr">
        <is>
          <t>XP / seconde</t>
        </is>
      </c>
      <c r="K2" s="149" t="inlineStr">
        <is>
          <t>Répétitions
par défaut</t>
        </is>
      </c>
      <c r="L2" s="149" t="inlineStr">
        <is>
          <t>Durée défaut
(secondes)</t>
        </is>
      </c>
      <c r="M2" t="inlineStr">
        <is>
          <t>Series
par defaut</t>
        </is>
      </c>
      <c r="N2" t="inlineStr">
        <is>
          <t>Poids
possible ?
(OUI/NON)</t>
        </is>
      </c>
      <c r="O2" t="inlineStr">
        <is>
          <t>Poids defaut
(kg)</t>
        </is>
      </c>
      <c r="P2" s="150" t="inlineStr">
        <is>
          <t>Bonus
Force</t>
        </is>
      </c>
      <c r="Q2" s="150" t="inlineStr">
        <is>
          <t>Bonus
Agilité</t>
        </is>
      </c>
      <c r="R2" s="150" t="inlineStr">
        <is>
          <t>Bonus
Constitution</t>
        </is>
      </c>
      <c r="S2" s="150" t="inlineStr">
        <is>
          <t>Bonus
Endurance</t>
        </is>
      </c>
      <c r="T2" s="126" t="inlineStr">
        <is>
          <t>Description
affichée</t>
        </is>
      </c>
      <c r="U2" s="181" t="inlineStr">
        <is>
          <t>Miniature
(thumbUrl Giphy 200px)</t>
        </is>
      </c>
      <c r="V2" s="181" t="inlineStr">
        <is>
          <t>GIF animé
(gifUrl Giphy full)</t>
        </is>
      </c>
      <c r="W2" s="126" t="inlineStr">
        <is>
          <t>Notes Game
Design</t>
        </is>
      </c>
    </row>
    <row r="3" ht="18" customHeight="1">
      <c r="A3" s="138" t="inlineStr">
        <is>
          <t>pushups</t>
        </is>
      </c>
      <c r="B3" s="141" t="inlineStr">
        <is>
          <t>Pompes</t>
        </is>
      </c>
      <c r="C3" s="138" t="inlineStr">
        <is>
          <t>arm-muscle</t>
        </is>
      </c>
      <c r="D3" s="138" t="inlineStr">
        <is>
          <t>force</t>
        </is>
      </c>
      <c r="E3" s="138" t="inlineStr">
        <is>
          <t>pectoraux</t>
        </is>
      </c>
      <c r="F3" s="138" t="n">
        <v>2</v>
      </c>
      <c r="G3" s="138" t="inlineStr">
        <is>
          <t>NON</t>
        </is>
      </c>
      <c r="H3" s="138" t="inlineStr">
        <is>
          <t>aucun</t>
        </is>
      </c>
      <c r="I3" s="138" t="n">
        <v>5</v>
      </c>
      <c r="J3" s="138" t="n">
        <v>0</v>
      </c>
      <c r="K3" s="138" t="n">
        <v>10</v>
      </c>
      <c r="L3" s="138" t="n">
        <v>0</v>
      </c>
      <c r="M3" t="n">
        <v>3</v>
      </c>
      <c r="N3" t="inlineStr">
        <is>
          <t>NON</t>
        </is>
      </c>
      <c r="O3" t="n">
        <v>0</v>
      </c>
      <c r="P3" s="138" t="n">
        <v>3</v>
      </c>
      <c r="Q3" s="138" t="n">
        <v>1</v>
      </c>
      <c r="R3" s="138" t="n">
        <v>1</v>
      </c>
      <c r="S3" s="138" t="n">
        <v>0</v>
      </c>
      <c r="T3" s="141" t="inlineStr">
        <is>
          <t>Effectue des pompes complètes au sol, bras à largeur d'épaules. Descends jusqu'à ce que la poitrine frôle le sol, puis remonte en gardant le corps bien droit.</t>
        </is>
      </c>
      <c r="U3" t="inlineStr">
        <is>
          <t>https://media3.giphy.com/media/3ohze1qkqPZHMrEuwo/200.gif</t>
        </is>
      </c>
      <c r="V3" t="inlineStr">
        <is>
          <t>https://media3.giphy.com/media/3ohze1qkqPZHMrEuwo/giphy.gif</t>
        </is>
      </c>
      <c r="W3" s="141" t="inlineStr">
        <is>
          <t>Exercice de base, force haut du corps.</t>
        </is>
      </c>
    </row>
    <row r="4" ht="18" customHeight="1">
      <c r="A4" s="138" t="inlineStr">
        <is>
          <t>squats</t>
        </is>
      </c>
      <c r="B4" s="141" t="inlineStr">
        <is>
          <t>Squats</t>
        </is>
      </c>
      <c r="C4" s="138" t="inlineStr">
        <is>
          <t>weight-lifting-up</t>
        </is>
      </c>
      <c r="D4" s="138" t="inlineStr">
        <is>
          <t>force</t>
        </is>
      </c>
      <c r="E4" s="138" t="inlineStr">
        <is>
          <t>jambes</t>
        </is>
      </c>
      <c r="F4" s="138" t="n">
        <v>2</v>
      </c>
      <c r="G4" s="138" t="inlineStr">
        <is>
          <t>NON</t>
        </is>
      </c>
      <c r="H4" s="138" t="inlineStr">
        <is>
          <t>aucun</t>
        </is>
      </c>
      <c r="I4" s="138" t="n">
        <v>5</v>
      </c>
      <c r="J4" s="138" t="n">
        <v>0</v>
      </c>
      <c r="K4" s="138" t="n">
        <v>15</v>
      </c>
      <c r="L4" s="138" t="n">
        <v>0</v>
      </c>
      <c r="M4" t="n">
        <v>3</v>
      </c>
      <c r="N4" t="inlineStr">
        <is>
          <t>OUI</t>
        </is>
      </c>
      <c r="O4" t="n">
        <v>20</v>
      </c>
      <c r="P4" s="138" t="n">
        <v>2</v>
      </c>
      <c r="Q4" s="138" t="n">
        <v>1</v>
      </c>
      <c r="R4" s="138" t="n">
        <v>3</v>
      </c>
      <c r="S4" s="138" t="n">
        <v>0</v>
      </c>
      <c r="T4" s="141" t="inlineStr">
        <is>
          <t>Descends jusqu'à ce que les cuisses soient parallèles au sol, dos droit et talons à plat. Pousse sur les talons pour remonter.</t>
        </is>
      </c>
      <c r="U4" t="inlineStr">
        <is>
          <t>https://media2.giphy.com/media/tHyPJtOwPChKmF0LKg/200.gif</t>
        </is>
      </c>
      <c r="V4" t="inlineStr">
        <is>
          <t>https://media2.giphy.com/media/tHyPJtOwPChKmF0LKg/giphy.gif</t>
        </is>
      </c>
      <c r="W4" s="141" t="inlineStr">
        <is>
          <t>Exercice majeur bas du corps.</t>
        </is>
      </c>
    </row>
    <row r="5" ht="18" customHeight="1">
      <c r="A5" s="151" t="inlineStr">
        <is>
          <t>plank</t>
        </is>
      </c>
      <c r="B5" s="152" t="inlineStr">
        <is>
          <t>Gainage</t>
        </is>
      </c>
      <c r="C5" s="151" t="inlineStr">
        <is>
          <t>body-balance</t>
        </is>
      </c>
      <c r="D5" s="151" t="inlineStr">
        <is>
          <t>endurance</t>
        </is>
      </c>
      <c r="E5" s="151" t="inlineStr">
        <is>
          <t>core</t>
        </is>
      </c>
      <c r="F5" s="151" t="n">
        <v>2</v>
      </c>
      <c r="G5" s="151" t="inlineStr">
        <is>
          <t>OUI</t>
        </is>
      </c>
      <c r="H5" s="151" t="inlineStr">
        <is>
          <t>aucun</t>
        </is>
      </c>
      <c r="I5" s="151" t="n">
        <v>0</v>
      </c>
      <c r="J5" s="151" t="n">
        <v>3</v>
      </c>
      <c r="K5" s="151" t="n">
        <v>0</v>
      </c>
      <c r="L5" s="151" t="n">
        <v>30</v>
      </c>
      <c r="M5" t="n">
        <v>3</v>
      </c>
      <c r="N5" t="inlineStr">
        <is>
          <t>NON</t>
        </is>
      </c>
      <c r="O5" t="n">
        <v>0</v>
      </c>
      <c r="P5" s="151" t="n">
        <v>1</v>
      </c>
      <c r="Q5" s="151" t="n">
        <v>1</v>
      </c>
      <c r="R5" s="151" t="n">
        <v>4</v>
      </c>
      <c r="S5" s="151" t="n">
        <v>1</v>
      </c>
      <c r="T5" s="152" t="inlineStr">
        <is>
          <t>Maintiens la position de gainage les bras tendus, corps aligné de la tête aux pieds. Contracte les abdos et respire régulièrement.</t>
        </is>
      </c>
      <c r="U5" t="inlineStr">
        <is>
          <t>https://media3.giphy.com/media/ZcteOOkovIh9HaVFjT/200.gif</t>
        </is>
      </c>
      <c r="V5" t="inlineStr">
        <is>
          <t>https://media3.giphy.com/media/ZcteOOkovIh9HaVFjT/giphy.gif</t>
        </is>
      </c>
      <c r="W5" s="152" t="inlineStr">
        <is>
          <t>Exercice isométrique, renforce le centre.</t>
        </is>
      </c>
    </row>
    <row r="6" ht="18" customHeight="1">
      <c r="A6" s="130" t="inlineStr">
        <is>
          <t>burpees</t>
        </is>
      </c>
      <c r="B6" s="133" t="inlineStr">
        <is>
          <t>Burpees</t>
        </is>
      </c>
      <c r="C6" s="130" t="inlineStr">
        <is>
          <t>jump-across</t>
        </is>
      </c>
      <c r="D6" s="130" t="inlineStr">
        <is>
          <t>cardio</t>
        </is>
      </c>
      <c r="E6" s="130" t="inlineStr">
        <is>
          <t>full_body</t>
        </is>
      </c>
      <c r="F6" s="130" t="n">
        <v>4</v>
      </c>
      <c r="G6" s="130" t="inlineStr">
        <is>
          <t>NON</t>
        </is>
      </c>
      <c r="H6" s="130" t="inlineStr">
        <is>
          <t>aucun</t>
        </is>
      </c>
      <c r="I6" s="130" t="n">
        <v>12</v>
      </c>
      <c r="J6" s="130" t="n">
        <v>0</v>
      </c>
      <c r="K6" s="130" t="n">
        <v>8</v>
      </c>
      <c r="L6" s="130" t="n">
        <v>0</v>
      </c>
      <c r="M6" t="n">
        <v>3</v>
      </c>
      <c r="N6" t="inlineStr">
        <is>
          <t>NON</t>
        </is>
      </c>
      <c r="O6" t="n">
        <v>0</v>
      </c>
      <c r="P6" s="130" t="n">
        <v>2</v>
      </c>
      <c r="Q6" s="130" t="n">
        <v>3</v>
      </c>
      <c r="R6" s="130" t="n">
        <v>2</v>
      </c>
      <c r="S6" s="130" t="n">
        <v>3</v>
      </c>
      <c r="T6" s="133" t="inlineStr">
        <is>
          <t>Debout, accroupis, place les mains au sol, saute en position de pompe, reviens accroupi puis saute verticalement en levant les bras.</t>
        </is>
      </c>
      <c r="U6" t="inlineStr">
        <is>
          <t>https://media1.giphy.com/media/KxuGSIZU1QZfRiRx4h/200.gif</t>
        </is>
      </c>
      <c r="V6" t="inlineStr">
        <is>
          <t>https://media1.giphy.com/media/KxuGSIZU1QZfRiRx4h/giphy.gif</t>
        </is>
      </c>
      <c r="W6" s="133" t="inlineStr">
        <is>
          <t>Exercice à haute intensité, excellent pour le cardio.</t>
        </is>
      </c>
    </row>
    <row r="7" ht="18" customHeight="1">
      <c r="A7" s="130" t="inlineStr">
        <is>
          <t>jumping_jacks</t>
        </is>
      </c>
      <c r="B7" s="133" t="inlineStr">
        <is>
          <t>Jumping Jacks</t>
        </is>
      </c>
      <c r="C7" s="130" t="inlineStr">
        <is>
          <t>body-height</t>
        </is>
      </c>
      <c r="D7" s="130" t="inlineStr">
        <is>
          <t>cardio</t>
        </is>
      </c>
      <c r="E7" s="130" t="inlineStr">
        <is>
          <t>full_body</t>
        </is>
      </c>
      <c r="F7" s="130" t="n">
        <v>1</v>
      </c>
      <c r="G7" s="130" t="inlineStr">
        <is>
          <t>NON</t>
        </is>
      </c>
      <c r="H7" s="130" t="inlineStr">
        <is>
          <t>aucun</t>
        </is>
      </c>
      <c r="I7" s="130" t="n">
        <v>3</v>
      </c>
      <c r="J7" s="130" t="n">
        <v>0</v>
      </c>
      <c r="K7" s="130" t="n">
        <v>20</v>
      </c>
      <c r="L7" s="130" t="n">
        <v>0</v>
      </c>
      <c r="M7" t="n">
        <v>3</v>
      </c>
      <c r="N7" t="inlineStr">
        <is>
          <t>NON</t>
        </is>
      </c>
      <c r="O7" t="n">
        <v>0</v>
      </c>
      <c r="P7" s="130" t="n">
        <v>0</v>
      </c>
      <c r="Q7" s="130" t="n">
        <v>3</v>
      </c>
      <c r="R7" s="130" t="n">
        <v>1</v>
      </c>
      <c r="S7" s="130" t="n">
        <v>2</v>
      </c>
      <c r="T7" s="133" t="inlineStr">
        <is>
          <t>Saute en écartant simultanément les bras et les jambes, puis reviens en position initiale. Maintiens un rythme régulier.</t>
        </is>
      </c>
      <c r="U7" t="inlineStr">
        <is>
          <t>https://media0.giphy.com/media/RgtuKqJ8rPII4qdRjp/200.gif</t>
        </is>
      </c>
      <c r="V7" t="inlineStr">
        <is>
          <t>https://media0.giphy.com/media/RgtuKqJ8rPII4qdRjp/giphy.gif</t>
        </is>
      </c>
      <c r="W7" s="133" t="inlineStr">
        <is>
          <t>Exercice cardio léger, parfait pour l'échauffement.</t>
        </is>
      </c>
    </row>
    <row r="8" ht="18" customHeight="1">
      <c r="A8" s="138" t="inlineStr">
        <is>
          <t>lunges</t>
        </is>
      </c>
      <c r="B8" s="141" t="inlineStr">
        <is>
          <t>Fentes</t>
        </is>
      </c>
      <c r="C8" s="138" t="inlineStr">
        <is>
          <t>walking</t>
        </is>
      </c>
      <c r="D8" s="138" t="inlineStr">
        <is>
          <t>force</t>
        </is>
      </c>
      <c r="E8" s="138" t="inlineStr">
        <is>
          <t>jambes</t>
        </is>
      </c>
      <c r="F8" s="138" t="n">
        <v>2</v>
      </c>
      <c r="G8" s="138" t="inlineStr">
        <is>
          <t>NON</t>
        </is>
      </c>
      <c r="H8" s="138" t="inlineStr">
        <is>
          <t>aucun</t>
        </is>
      </c>
      <c r="I8" s="138" t="n">
        <v>6</v>
      </c>
      <c r="J8" s="138" t="n">
        <v>0</v>
      </c>
      <c r="K8" s="138" t="n">
        <v>12</v>
      </c>
      <c r="L8" s="138" t="n">
        <v>0</v>
      </c>
      <c r="M8" t="n">
        <v>3</v>
      </c>
      <c r="N8" t="inlineStr">
        <is>
          <t>OUI</t>
        </is>
      </c>
      <c r="O8" t="n">
        <v>10</v>
      </c>
      <c r="P8" s="138" t="n">
        <v>2</v>
      </c>
      <c r="Q8" s="138" t="n">
        <v>2</v>
      </c>
      <c r="R8" s="138" t="n">
        <v>2</v>
      </c>
      <c r="S8" s="138" t="n">
        <v>1</v>
      </c>
      <c r="T8" s="141" t="inlineStr">
        <is>
          <t>Alterne les fentes avant gauche/droite. Le genou avant ne doit pas dépasser le bout du pied, le genou arrière effleure le sol.</t>
        </is>
      </c>
      <c r="U8" t="inlineStr">
        <is>
          <t>https://media0.giphy.com/media/BDta60HEH7374d4lSZ/200.gif</t>
        </is>
      </c>
      <c r="V8" t="inlineStr">
        <is>
          <t>https://media0.giphy.com/media/BDta60HEH7374d4lSZ/giphy.gif</t>
        </is>
      </c>
      <c r="W8" s="141" t="inlineStr">
        <is>
          <t>Renforce quadriceps et fessiers.</t>
        </is>
      </c>
    </row>
    <row r="9" ht="18" customHeight="1">
      <c r="A9" s="130" t="inlineStr">
        <is>
          <t>run_place</t>
        </is>
      </c>
      <c r="B9" s="133" t="inlineStr">
        <is>
          <t>Course sur place</t>
        </is>
      </c>
      <c r="C9" s="130" t="inlineStr">
        <is>
          <t>run</t>
        </is>
      </c>
      <c r="D9" s="130" t="inlineStr">
        <is>
          <t>cardio</t>
        </is>
      </c>
      <c r="E9" s="130" t="inlineStr">
        <is>
          <t>jambes</t>
        </is>
      </c>
      <c r="F9" s="130" t="n">
        <v>2</v>
      </c>
      <c r="G9" s="130" t="inlineStr">
        <is>
          <t>OUI</t>
        </is>
      </c>
      <c r="H9" s="130" t="inlineStr">
        <is>
          <t>aucun</t>
        </is>
      </c>
      <c r="I9" s="130" t="n">
        <v>0</v>
      </c>
      <c r="J9" s="130" t="n">
        <v>4</v>
      </c>
      <c r="K9" s="130" t="n">
        <v>0</v>
      </c>
      <c r="L9" s="130" t="n">
        <v>60</v>
      </c>
      <c r="M9" t="n">
        <v>3</v>
      </c>
      <c r="N9" t="inlineStr">
        <is>
          <t>NON</t>
        </is>
      </c>
      <c r="O9" t="n">
        <v>0</v>
      </c>
      <c r="P9" s="130" t="n">
        <v>0</v>
      </c>
      <c r="Q9" s="130" t="n">
        <v>4</v>
      </c>
      <c r="R9" s="130" t="n">
        <v>1</v>
      </c>
      <c r="S9" s="130" t="n">
        <v>4</v>
      </c>
      <c r="T9" s="133" t="inlineStr">
        <is>
          <t>Cours sur place en levant bien les genoux à hauteur de la hanche. Bras fléchis à 90°, mouvement naturel de la course.</t>
        </is>
      </c>
      <c r="U9" t="inlineStr">
        <is>
          <t>https://media3.giphy.com/media/VpDGbWPepQNWDFO0Jo/200.gif</t>
        </is>
      </c>
      <c r="V9" t="inlineStr">
        <is>
          <t>https://media3.giphy.com/media/VpDGbWPepQNWDFO0Jo/giphy.gif</t>
        </is>
      </c>
      <c r="W9" s="133" t="inlineStr">
        <is>
          <t>Cardio sans déplacement, augmente l'endurance.</t>
        </is>
      </c>
    </row>
    <row r="10" ht="18" customHeight="1">
      <c r="A10" s="138" t="inlineStr">
        <is>
          <t>dips_chair</t>
        </is>
      </c>
      <c r="B10" s="141" t="inlineStr">
        <is>
          <t>Dips sur chaise</t>
        </is>
      </c>
      <c r="C10" s="138" t="inlineStr">
        <is>
          <t>weight-lifting-down</t>
        </is>
      </c>
      <c r="D10" s="138" t="inlineStr">
        <is>
          <t>force</t>
        </is>
      </c>
      <c r="E10" s="138" t="inlineStr">
        <is>
          <t>triceps</t>
        </is>
      </c>
      <c r="F10" s="138" t="n">
        <v>3</v>
      </c>
      <c r="G10" s="138" t="inlineStr">
        <is>
          <t>NON</t>
        </is>
      </c>
      <c r="H10" s="138" t="inlineStr">
        <is>
          <t>chaise</t>
        </is>
      </c>
      <c r="I10" s="138" t="n">
        <v>7</v>
      </c>
      <c r="J10" s="138" t="n">
        <v>0</v>
      </c>
      <c r="K10" s="138" t="n">
        <v>10</v>
      </c>
      <c r="L10" s="138" t="n">
        <v>0</v>
      </c>
      <c r="M10" t="n">
        <v>3</v>
      </c>
      <c r="N10" t="inlineStr">
        <is>
          <t>OUI</t>
        </is>
      </c>
      <c r="O10" t="n">
        <v>5</v>
      </c>
      <c r="P10" s="138" t="n">
        <v>3</v>
      </c>
      <c r="Q10" s="138" t="n">
        <v>1</v>
      </c>
      <c r="R10" s="138" t="n">
        <v>2</v>
      </c>
      <c r="S10" s="138" t="n">
        <v>0</v>
      </c>
      <c r="T10" s="141" t="inlineStr">
        <is>
          <t>Assis sur le bord d'une chaise, mains de chaque côté des hanches. Glisse vers l'avant et descends en fléchissant les coudes à 90°, puis remonte.</t>
        </is>
      </c>
      <c r="U10" t="inlineStr">
        <is>
          <t>https://media1.giphy.com/media/4zIMiq61O8M2ZBxfRv/200.gif</t>
        </is>
      </c>
      <c r="V10" t="inlineStr">
        <is>
          <t>https://media1.giphy.com/media/4zIMiq61O8M2ZBxfRv/giphy.gif</t>
        </is>
      </c>
      <c r="W10" s="141" t="inlineStr">
        <is>
          <t>Renforce les triceps. Équipement simple.</t>
        </is>
      </c>
    </row>
    <row r="11" ht="18" customHeight="1">
      <c r="A11" s="130" t="inlineStr">
        <is>
          <t>mountain_climber</t>
        </is>
      </c>
      <c r="B11" s="133" t="inlineStr">
        <is>
          <t>Mountain Climbers</t>
        </is>
      </c>
      <c r="C11" s="130" t="inlineStr">
        <is>
          <t>mountain-road</t>
        </is>
      </c>
      <c r="D11" s="130" t="inlineStr">
        <is>
          <t>cardio</t>
        </is>
      </c>
      <c r="E11" s="130" t="inlineStr">
        <is>
          <t>core</t>
        </is>
      </c>
      <c r="F11" s="130" t="n">
        <v>3</v>
      </c>
      <c r="G11" s="130" t="inlineStr">
        <is>
          <t>OUI</t>
        </is>
      </c>
      <c r="H11" s="130" t="inlineStr">
        <is>
          <t>aucun</t>
        </is>
      </c>
      <c r="I11" s="130" t="n">
        <v>0</v>
      </c>
      <c r="J11" s="130" t="n">
        <v>5</v>
      </c>
      <c r="K11" s="130" t="n">
        <v>0</v>
      </c>
      <c r="L11" s="130" t="n">
        <v>30</v>
      </c>
      <c r="M11" t="n">
        <v>3</v>
      </c>
      <c r="N11" t="inlineStr">
        <is>
          <t>NON</t>
        </is>
      </c>
      <c r="O11" t="n">
        <v>0</v>
      </c>
      <c r="P11" s="130" t="n">
        <v>1</v>
      </c>
      <c r="Q11" s="130" t="n">
        <v>3</v>
      </c>
      <c r="R11" s="130" t="n">
        <v>3</v>
      </c>
      <c r="S11" s="130" t="n">
        <v>3</v>
      </c>
      <c r="T11" s="133" t="inlineStr">
        <is>
          <t>En position de pompe, ramène les genoux vers la poitrine en alternance le plus vite possible. Garde les hanches basses.</t>
        </is>
      </c>
      <c r="U11" t="inlineStr">
        <is>
          <t>https://media1.giphy.com/media/VzlPEkuoqlgjehxvxk/200.gif</t>
        </is>
      </c>
      <c r="V11" t="inlineStr">
        <is>
          <t>https://media1.giphy.com/media/VzlPEkuoqlgjehxvxk/giphy.gif</t>
        </is>
      </c>
      <c r="W11" s="133" t="inlineStr">
        <is>
          <t>Cardio + gainage combinés.</t>
        </is>
      </c>
    </row>
    <row r="12" ht="18" customHeight="1">
      <c r="A12" s="151" t="inlineStr">
        <is>
          <t>wall_sit</t>
        </is>
      </c>
      <c r="B12" s="152" t="inlineStr">
        <is>
          <t>Chaise Murale</t>
        </is>
      </c>
      <c r="C12" s="151" t="inlineStr">
        <is>
          <t>wall</t>
        </is>
      </c>
      <c r="D12" s="151" t="inlineStr">
        <is>
          <t>endurance</t>
        </is>
      </c>
      <c r="E12" s="151" t="inlineStr">
        <is>
          <t>jambes</t>
        </is>
      </c>
      <c r="F12" s="151" t="n">
        <v>2</v>
      </c>
      <c r="G12" s="151" t="inlineStr">
        <is>
          <t>OUI</t>
        </is>
      </c>
      <c r="H12" s="151" t="inlineStr">
        <is>
          <t>mur</t>
        </is>
      </c>
      <c r="I12" s="151" t="n">
        <v>0</v>
      </c>
      <c r="J12" s="151" t="n">
        <v>4</v>
      </c>
      <c r="K12" s="151" t="n">
        <v>0</v>
      </c>
      <c r="L12" s="151" t="n">
        <v>45</v>
      </c>
      <c r="M12" t="n">
        <v>3</v>
      </c>
      <c r="N12" t="inlineStr">
        <is>
          <t>NON</t>
        </is>
      </c>
      <c r="O12" t="n">
        <v>0</v>
      </c>
      <c r="P12" s="151" t="n">
        <v>1</v>
      </c>
      <c r="Q12" s="151" t="n">
        <v>0</v>
      </c>
      <c r="R12" s="151" t="n">
        <v>4</v>
      </c>
      <c r="S12" s="151" t="n">
        <v>2</v>
      </c>
      <c r="T12" s="152" t="inlineStr">
        <is>
          <t>Dos contre le mur, cuisses à 90° et pieds à plat au sol. Maintiens la position pendant toute la durée, bras tendus le long du corps.</t>
        </is>
      </c>
      <c r="U12" t="inlineStr">
        <is>
          <t>https://media2.giphy.com/media/wiRXDJkS5rcMQ2oSJG/200.gif</t>
        </is>
      </c>
      <c r="V12" t="inlineStr">
        <is>
          <t>https://media2.giphy.com/media/wiRXDJkS5rcMQ2oSJG/giphy.gif</t>
        </is>
      </c>
      <c r="W12" s="152" t="inlineStr">
        <is>
          <t>Exercice isométrique, endurance des jambes.</t>
        </is>
      </c>
    </row>
    <row r="13" ht="18" customHeight="1">
      <c r="A13" s="130" t="inlineStr">
        <is>
          <t>high_knees</t>
        </is>
      </c>
      <c r="B13" s="133" t="inlineStr">
        <is>
          <t>Genoux Hauts</t>
        </is>
      </c>
      <c r="C13" s="130" t="inlineStr">
        <is>
          <t>body-balance</t>
        </is>
      </c>
      <c r="D13" s="130" t="inlineStr">
        <is>
          <t>cardio</t>
        </is>
      </c>
      <c r="E13" s="130" t="inlineStr">
        <is>
          <t>jambes</t>
        </is>
      </c>
      <c r="F13" s="130" t="n">
        <v>2</v>
      </c>
      <c r="G13" s="130" t="inlineStr">
        <is>
          <t>OUI</t>
        </is>
      </c>
      <c r="H13" s="130" t="inlineStr">
        <is>
          <t>aucun</t>
        </is>
      </c>
      <c r="I13" s="130" t="n">
        <v>0</v>
      </c>
      <c r="J13" s="130" t="n">
        <v>4</v>
      </c>
      <c r="K13" s="130" t="n">
        <v>0</v>
      </c>
      <c r="L13" s="130" t="n">
        <v>30</v>
      </c>
      <c r="M13" t="n">
        <v>3</v>
      </c>
      <c r="N13" t="inlineStr">
        <is>
          <t>NON</t>
        </is>
      </c>
      <c r="O13" t="n">
        <v>0</v>
      </c>
      <c r="P13" s="130" t="n">
        <v>0</v>
      </c>
      <c r="Q13" s="130" t="n">
        <v>4</v>
      </c>
      <c r="R13" s="130" t="n">
        <v>1</v>
      </c>
      <c r="S13" s="130" t="n">
        <v>3</v>
      </c>
      <c r="T13" s="133" t="inlineStr">
        <is>
          <t>Lève les genoux le plus haut possible en alternance, idéalement à hauteur de hanche. Bras qui accompagnent le mouvement.</t>
        </is>
      </c>
      <c r="U13" t="inlineStr">
        <is>
          <t>https://media3.giphy.com/media/l0HlNOsSRC0Bts7iU/200.gif</t>
        </is>
      </c>
      <c r="V13" t="inlineStr">
        <is>
          <t>https://media3.giphy.com/media/l0HlNOsSRC0Bts7iU/giphy.gif</t>
        </is>
      </c>
      <c r="W13" s="133" t="inlineStr">
        <is>
          <t>Cardio et coordination.</t>
        </is>
      </c>
    </row>
    <row r="14" ht="18" customHeight="1">
      <c r="A14" s="138" t="inlineStr">
        <is>
          <t>crunches</t>
        </is>
      </c>
      <c r="B14" s="141" t="inlineStr">
        <is>
          <t>Abdominaux</t>
        </is>
      </c>
      <c r="C14" s="138" t="inlineStr">
        <is>
          <t>muscle-up</t>
        </is>
      </c>
      <c r="D14" s="138" t="inlineStr">
        <is>
          <t>force</t>
        </is>
      </c>
      <c r="E14" s="138" t="inlineStr">
        <is>
          <t>core</t>
        </is>
      </c>
      <c r="F14" s="138" t="n">
        <v>2</v>
      </c>
      <c r="G14" s="138" t="inlineStr">
        <is>
          <t>NON</t>
        </is>
      </c>
      <c r="H14" s="138" t="inlineStr">
        <is>
          <t>aucun</t>
        </is>
      </c>
      <c r="I14" s="138" t="n">
        <v>4</v>
      </c>
      <c r="J14" s="138" t="n">
        <v>0</v>
      </c>
      <c r="K14" s="138" t="n">
        <v>15</v>
      </c>
      <c r="L14" s="138" t="n">
        <v>0</v>
      </c>
      <c r="M14" t="n">
        <v>3</v>
      </c>
      <c r="N14" t="inlineStr">
        <is>
          <t>NON</t>
        </is>
      </c>
      <c r="O14" t="n">
        <v>0</v>
      </c>
      <c r="P14" s="138" t="n">
        <v>0</v>
      </c>
      <c r="Q14" s="138" t="n">
        <v>0</v>
      </c>
      <c r="R14" s="138" t="n">
        <v>4</v>
      </c>
      <c r="S14" s="138" t="n">
        <v>0</v>
      </c>
      <c r="T14" s="141" t="inlineStr">
        <is>
          <t>Allongé sur le dos, genoux fléchis, mains derrière la tête. Soulève les épaules du sol en contractant les abdos, sans tirer sur la nuque.</t>
        </is>
      </c>
      <c r="U14" t="inlineStr">
        <is>
          <t>https://media2.giphy.com/media/OgJiGwuIlVvgs/200.gif</t>
        </is>
      </c>
      <c r="V14" t="inlineStr">
        <is>
          <t>https://media2.giphy.com/media/OgJiGwuIlVvgs/giphy.gif</t>
        </is>
      </c>
      <c r="W14" s="141" t="inlineStr">
        <is>
          <t>Renforce les abdominaux.</t>
        </is>
      </c>
    </row>
    <row r="15"/>
    <row r="16">
      <c r="A16" s="153" t="inlineStr">
        <is>
          <t>💡 CATÉGORIES : force | cardio | endurance | souplesse  — GROUPES : pectoraux | dos | jambes | core | bras | triceps | full_body | épaules  — DIFFICULTÉ : 1=très facile → 5=très difficile</t>
        </is>
      </c>
    </row>
  </sheetData>
  <mergeCells count="6">
    <mergeCell ref="A1:D1"/>
    <mergeCell ref="Q1:R1"/>
    <mergeCell ref="I1:L1"/>
    <mergeCell ref="M1:P1"/>
    <mergeCell ref="A16:R16"/>
    <mergeCell ref="E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8" customWidth="1" min="4" max="4"/>
    <col width="18" customWidth="1" min="5" max="5"/>
    <col width="36" customWidth="1" min="6" max="6"/>
    <col width="9" customWidth="1" min="7" max="7"/>
    <col width="9" customWidth="1" min="8" max="8"/>
    <col width="13" customWidth="1" min="9" max="9"/>
    <col width="9" customWidth="1" min="10" max="10"/>
  </cols>
  <sheetData>
    <row r="1" ht="36" customHeight="1">
      <c r="A1" s="10" t="inlineStr">
        <is>
          <t>Identifiant unique
(snake_case)</t>
        </is>
      </c>
      <c r="B1" s="10" t="inlineStr">
        <is>
          <t>Nom affiché
(français)</t>
        </is>
      </c>
      <c r="C1" s="10" t="inlineStr">
        <is>
          <t>Rareté</t>
        </is>
      </c>
      <c r="D1" s="10" t="inlineStr">
        <is>
          <t>Clé icône</t>
        </is>
      </c>
      <c r="E1" s="10" t="inlineStr">
        <is>
          <t>Emplacement
(weapon_main…)</t>
        </is>
      </c>
      <c r="F1" s="10" t="inlineStr">
        <is>
          <t>Description</t>
        </is>
      </c>
      <c r="G1" s="27" t="inlineStr">
        <is>
          <t>Stat
Force</t>
        </is>
      </c>
      <c r="H1" s="27" t="inlineStr">
        <is>
          <t>Stat
Vitesse</t>
        </is>
      </c>
      <c r="I1" s="27" t="inlineStr">
        <is>
          <t>Stat
Constitution</t>
        </is>
      </c>
      <c r="J1" s="27" t="inlineStr">
        <is>
          <t>Stat
Défense</t>
        </is>
      </c>
    </row>
    <row r="2">
      <c r="A2" s="28" t="inlineStr">
        <is>
          <t>sword_rusty</t>
        </is>
      </c>
      <c r="B2" s="28" t="inlineStr">
        <is>
          <t>Épée Rouillée</t>
        </is>
      </c>
      <c r="C2" s="28" t="inlineStr">
        <is>
          <t>common</t>
        </is>
      </c>
      <c r="D2" s="28" t="inlineStr">
        <is>
          <t>broadsword</t>
        </is>
      </c>
      <c r="E2" s="28" t="inlineStr">
        <is>
          <t>weapon_main</t>
        </is>
      </c>
      <c r="F2" s="28" t="inlineStr">
        <is>
          <t>Une lame qui a connu mille batailles.</t>
        </is>
      </c>
      <c r="G2" s="29" t="n">
        <v>5</v>
      </c>
      <c r="H2" s="29" t="n">
        <v>0</v>
      </c>
      <c r="I2" s="29" t="n">
        <v>0</v>
      </c>
      <c r="J2" s="29" t="n">
        <v>0</v>
      </c>
    </row>
    <row r="3">
      <c r="A3" s="17" t="inlineStr">
        <is>
          <t>axe_woodcutter</t>
        </is>
      </c>
      <c r="B3" s="17" t="inlineStr">
        <is>
          <t>Hache de Bûcheron</t>
        </is>
      </c>
      <c r="C3" s="17" t="inlineStr">
        <is>
          <t>common</t>
        </is>
      </c>
      <c r="D3" s="17" t="inlineStr">
        <is>
          <t>battle-axe</t>
        </is>
      </c>
      <c r="E3" s="17" t="inlineStr">
        <is>
          <t>weapon_main</t>
        </is>
      </c>
      <c r="F3" s="17" t="inlineStr">
        <is>
          <t>Faite pour le bois, redoutable contre les chairs molles.</t>
        </is>
      </c>
      <c r="G3" s="18" t="n">
        <v>6</v>
      </c>
      <c r="H3" s="18" t="n">
        <v>0</v>
      </c>
      <c r="I3" s="18" t="n">
        <v>0</v>
      </c>
      <c r="J3" s="18" t="n">
        <v>0</v>
      </c>
    </row>
    <row r="4">
      <c r="A4" s="28" t="inlineStr">
        <is>
          <t>bow_hunter</t>
        </is>
      </c>
      <c r="B4" s="28" t="inlineStr">
        <is>
          <t>Arc du Chasseur</t>
        </is>
      </c>
      <c r="C4" s="28" t="inlineStr">
        <is>
          <t>rare</t>
        </is>
      </c>
      <c r="D4" s="28" t="inlineStr">
        <is>
          <t>pocket-bow</t>
        </is>
      </c>
      <c r="E4" s="28" t="inlineStr">
        <is>
          <t>weapon_secondary</t>
        </is>
      </c>
      <c r="F4" s="28" t="inlineStr">
        <is>
          <t>L'arme silencieuse des rôdeurs.</t>
        </is>
      </c>
      <c r="G4" s="29" t="n">
        <v>8</v>
      </c>
      <c r="H4" s="29" t="n">
        <v>3</v>
      </c>
      <c r="I4" s="29" t="n">
        <v>0</v>
      </c>
      <c r="J4" s="29" t="n">
        <v>0</v>
      </c>
    </row>
    <row r="5">
      <c r="A5" s="17" t="inlineStr">
        <is>
          <t>sword_knight</t>
        </is>
      </c>
      <c r="B5" s="17" t="inlineStr">
        <is>
          <t>Lame de Chevalier</t>
        </is>
      </c>
      <c r="C5" s="17" t="inlineStr">
        <is>
          <t>rare</t>
        </is>
      </c>
      <c r="D5" s="17" t="inlineStr">
        <is>
          <t>crossed-swords</t>
        </is>
      </c>
      <c r="E5" s="17" t="inlineStr">
        <is>
          <t>weapon_main</t>
        </is>
      </c>
      <c r="F5" s="17" t="inlineStr">
        <is>
          <t>Le serment d'un noble repose sur cette lame.</t>
        </is>
      </c>
      <c r="G5" s="18" t="n">
        <v>12</v>
      </c>
      <c r="H5" s="18" t="n">
        <v>0</v>
      </c>
      <c r="I5" s="18" t="n">
        <v>0</v>
      </c>
      <c r="J5" s="18" t="n">
        <v>0</v>
      </c>
    </row>
    <row r="6">
      <c r="A6" s="28" t="inlineStr">
        <is>
          <t>staff_druid</t>
        </is>
      </c>
      <c r="B6" s="28" t="inlineStr">
        <is>
          <t>Bâton du Druide</t>
        </is>
      </c>
      <c r="C6" s="28" t="inlineStr">
        <is>
          <t>epic</t>
        </is>
      </c>
      <c r="D6" s="28" t="inlineStr">
        <is>
          <t>wood-stick</t>
        </is>
      </c>
      <c r="E6" s="28" t="inlineStr">
        <is>
          <t>weapon_main</t>
        </is>
      </c>
      <c r="F6" s="28" t="inlineStr">
        <is>
          <t>Imprégné de la sagesse des anciens.</t>
        </is>
      </c>
      <c r="G6" s="29" t="n">
        <v>5</v>
      </c>
      <c r="H6" s="29" t="n">
        <v>0</v>
      </c>
      <c r="I6" s="29" t="n">
        <v>10</v>
      </c>
      <c r="J6" s="29" t="n">
        <v>0</v>
      </c>
    </row>
    <row r="7">
      <c r="A7" t="inlineStr">
        <is>
          <t>dagger_swift</t>
        </is>
      </c>
      <c r="B7" t="inlineStr">
        <is>
          <t>Dague Vive</t>
        </is>
      </c>
      <c r="C7" t="inlineStr">
        <is>
          <t>common</t>
        </is>
      </c>
      <c r="D7" t="inlineStr">
        <is>
          <t>daggers</t>
        </is>
      </c>
      <c r="E7" t="inlineStr">
        <is>
          <t>weapon_secondary</t>
        </is>
      </c>
      <c r="F7" t="inlineStr">
        <is>
          <t>Legere et precise, ideale pour les attaques rapides.</t>
        </is>
      </c>
      <c r="G7" t="n">
        <v>3</v>
      </c>
      <c r="H7" t="n">
        <v>5</v>
      </c>
      <c r="I7" t="n">
        <v>0</v>
      </c>
      <c r="J7" t="n">
        <v>0</v>
      </c>
    </row>
    <row r="8">
      <c r="A8" t="inlineStr">
        <is>
          <t>hammer_stone</t>
        </is>
      </c>
      <c r="B8" t="inlineStr">
        <is>
          <t>Marteau de Pierre</t>
        </is>
      </c>
      <c r="C8" t="inlineStr">
        <is>
          <t>common</t>
        </is>
      </c>
      <c r="D8" t="inlineStr">
        <is>
          <t>stone-axe</t>
        </is>
      </c>
      <c r="E8" t="inlineStr">
        <is>
          <t>weapon_main</t>
        </is>
      </c>
      <c r="F8" t="inlineStr">
        <is>
          <t>Lourd mais devastateur sur les armures.</t>
        </is>
      </c>
      <c r="G8" t="n">
        <v>8</v>
      </c>
      <c r="H8" t="n">
        <v>0</v>
      </c>
      <c r="I8" t="n">
        <v>0</v>
      </c>
      <c r="J8" t="n">
        <v>0</v>
      </c>
    </row>
    <row r="9">
      <c r="A9" t="inlineStr">
        <is>
          <t>leather_armor</t>
        </is>
      </c>
      <c r="B9" t="inlineStr">
        <is>
          <t>Armure de Cuir</t>
        </is>
      </c>
      <c r="C9" t="inlineStr">
        <is>
          <t>common</t>
        </is>
      </c>
      <c r="D9" t="inlineStr">
        <is>
          <t>leather-armor</t>
        </is>
      </c>
      <c r="E9" t="inlineStr">
        <is>
          <t>armor</t>
        </is>
      </c>
      <c r="F9" t="inlineStr">
        <is>
          <t>Legere et respirante pour les combattants mobiles.</t>
        </is>
      </c>
      <c r="G9" t="n">
        <v>0</v>
      </c>
      <c r="H9" t="n">
        <v>0</v>
      </c>
      <c r="I9" t="n">
        <v>5</v>
      </c>
      <c r="J9" t="n">
        <v>6</v>
      </c>
    </row>
    <row r="10">
      <c r="A10" t="inlineStr">
        <is>
          <t>shield_wooden</t>
        </is>
      </c>
      <c r="B10" t="inlineStr">
        <is>
          <t>Bouclier de Bois</t>
        </is>
      </c>
      <c r="C10" t="inlineStr">
        <is>
          <t>common</t>
        </is>
      </c>
      <c r="D10" t="inlineStr">
        <is>
          <t>round-shield</t>
        </is>
      </c>
      <c r="E10" t="inlineStr">
        <is>
          <t>armor</t>
        </is>
      </c>
      <c r="F10" t="inlineStr">
        <is>
          <t>Protection de base du guerrier debutant.</t>
        </is>
      </c>
      <c r="G10" t="n">
        <v>0</v>
      </c>
      <c r="H10" t="n">
        <v>0</v>
      </c>
      <c r="I10" t="n">
        <v>0</v>
      </c>
      <c r="J10" t="n">
        <v>8</v>
      </c>
    </row>
    <row r="11">
      <c r="A11" t="inlineStr">
        <is>
          <t>iron_boots</t>
        </is>
      </c>
      <c r="B11" t="inlineStr">
        <is>
          <t>Bottes de Fer</t>
        </is>
      </c>
      <c r="C11" t="inlineStr">
        <is>
          <t>common</t>
        </is>
      </c>
      <c r="D11" t="inlineStr">
        <is>
          <t>boots</t>
        </is>
      </c>
      <c r="E11" t="inlineStr">
        <is>
          <t>legs</t>
        </is>
      </c>
      <c r="F11" t="inlineStr">
        <is>
          <t>Solides et fiables sur tous les terrains.</t>
        </is>
      </c>
      <c r="G11" t="n">
        <v>0</v>
      </c>
      <c r="H11" t="n">
        <v>0</v>
      </c>
      <c r="I11" t="n">
        <v>0</v>
      </c>
      <c r="J11" t="n">
        <v>5</v>
      </c>
    </row>
    <row r="12">
      <c r="A12" t="inlineStr">
        <is>
          <t>crossbow_hunter</t>
        </is>
      </c>
      <c r="B12" t="inlineStr">
        <is>
          <t>Arbalete du Chasseur</t>
        </is>
      </c>
      <c r="C12" t="inlineStr">
        <is>
          <t>rare</t>
        </is>
      </c>
      <c r="D12" t="inlineStr">
        <is>
          <t>crossbow</t>
        </is>
      </c>
      <c r="E12" t="inlineStr">
        <is>
          <t>weapon_secondary</t>
        </is>
      </c>
      <c r="F12" t="inlineStr">
        <is>
          <t>Precise et puissante a longue portee.</t>
        </is>
      </c>
      <c r="G12" t="n">
        <v>10</v>
      </c>
      <c r="H12" t="n">
        <v>4</v>
      </c>
      <c r="I12" t="n">
        <v>0</v>
      </c>
      <c r="J12" t="n">
        <v>0</v>
      </c>
    </row>
    <row r="13">
      <c r="A13" t="inlineStr">
        <is>
          <t>sword_steel</t>
        </is>
      </c>
      <c r="B13" t="inlineStr">
        <is>
          <t>Epee d'Acier</t>
        </is>
      </c>
      <c r="C13" t="inlineStr">
        <is>
          <t>rare</t>
        </is>
      </c>
      <c r="D13" t="inlineStr">
        <is>
          <t>sword</t>
        </is>
      </c>
      <c r="E13" t="inlineStr">
        <is>
          <t>weapon_main</t>
        </is>
      </c>
      <c r="F13" t="inlineStr">
        <is>
          <t>La lame favorite des mercenaires aguerris.</t>
        </is>
      </c>
      <c r="G13" t="n">
        <v>15</v>
      </c>
      <c r="H13" t="n">
        <v>0</v>
      </c>
      <c r="I13" t="n">
        <v>0</v>
      </c>
      <c r="J13" t="n">
        <v>0</v>
      </c>
    </row>
    <row r="14">
      <c r="A14" t="inlineStr">
        <is>
          <t>shield_iron</t>
        </is>
      </c>
      <c r="B14" t="inlineStr">
        <is>
          <t>Bouclier de Fer</t>
        </is>
      </c>
      <c r="C14" t="inlineStr">
        <is>
          <t>rare</t>
        </is>
      </c>
      <c r="D14" t="inlineStr">
        <is>
          <t>round-shield</t>
        </is>
      </c>
      <c r="E14" t="inlineStr">
        <is>
          <t>armor</t>
        </is>
      </c>
      <c r="F14" t="inlineStr">
        <is>
          <t>Resiste aux coups les plus durs.</t>
        </is>
      </c>
      <c r="G14" t="n">
        <v>0</v>
      </c>
      <c r="H14" t="n">
        <v>0</v>
      </c>
      <c r="I14" t="n">
        <v>0</v>
      </c>
      <c r="J14" t="n">
        <v>18</v>
      </c>
    </row>
    <row r="15">
      <c r="A15" t="inlineStr">
        <is>
          <t>chainmail</t>
        </is>
      </c>
      <c r="B15" t="inlineStr">
        <is>
          <t>Cotte de Mailles</t>
        </is>
      </c>
      <c r="C15" t="inlineStr">
        <is>
          <t>rare</t>
        </is>
      </c>
      <c r="D15" t="inlineStr">
        <is>
          <t>chain-mail</t>
        </is>
      </c>
      <c r="E15" t="inlineStr">
        <is>
          <t>armor</t>
        </is>
      </c>
      <c r="F15" t="inlineStr">
        <is>
          <t>Protection solide, legere a porter.</t>
        </is>
      </c>
      <c r="G15" t="n">
        <v>0</v>
      </c>
      <c r="H15" t="n">
        <v>0</v>
      </c>
      <c r="I15" t="n">
        <v>8</v>
      </c>
      <c r="J15" t="n">
        <v>15</v>
      </c>
    </row>
    <row r="16">
      <c r="A16" t="inlineStr">
        <is>
          <t>iron_helmet</t>
        </is>
      </c>
      <c r="B16" t="inlineStr">
        <is>
          <t>Heaume de Fer</t>
        </is>
      </c>
      <c r="C16" t="inlineStr">
        <is>
          <t>rare</t>
        </is>
      </c>
      <c r="D16" t="inlineStr">
        <is>
          <t>helmet</t>
        </is>
      </c>
      <c r="E16" t="inlineStr">
        <is>
          <t>helmet</t>
        </is>
      </c>
      <c r="F16" t="inlineStr">
        <is>
          <t>Protege la tete et les tempes des coups puissants.</t>
        </is>
      </c>
      <c r="G16" t="n">
        <v>0</v>
      </c>
      <c r="H16" t="n">
        <v>0</v>
      </c>
      <c r="I16" t="n">
        <v>0</v>
      </c>
      <c r="J16" t="n">
        <v>10</v>
      </c>
    </row>
    <row r="17">
      <c r="A17" t="inlineStr">
        <is>
          <t>greatsword_warrior</t>
        </is>
      </c>
      <c r="B17" t="inlineStr">
        <is>
          <t>Espadon du Guerrier</t>
        </is>
      </c>
      <c r="C17" t="inlineStr">
        <is>
          <t>epic</t>
        </is>
      </c>
      <c r="D17" t="inlineStr">
        <is>
          <t>two-handed-sword</t>
        </is>
      </c>
      <c r="E17" t="inlineStr">
        <is>
          <t>weapon_main</t>
        </is>
      </c>
      <c r="F17" t="inlineStr">
        <is>
          <t>Lourde mais implacable, elle fracasse les defenses.</t>
        </is>
      </c>
      <c r="G17" t="n">
        <v>22</v>
      </c>
      <c r="H17" t="n">
        <v>0</v>
      </c>
      <c r="I17" t="n">
        <v>0</v>
      </c>
      <c r="J17" t="n">
        <v>0</v>
      </c>
    </row>
    <row r="18">
      <c r="A18" t="inlineStr">
        <is>
          <t>bow_elven</t>
        </is>
      </c>
      <c r="B18" t="inlineStr">
        <is>
          <t>Arc Elfique</t>
        </is>
      </c>
      <c r="C18" t="inlineStr">
        <is>
          <t>epic</t>
        </is>
      </c>
      <c r="D18" t="inlineStr">
        <is>
          <t>bow-arrow</t>
        </is>
      </c>
      <c r="E18" t="inlineStr">
        <is>
          <t>weapon_secondary</t>
        </is>
      </c>
      <c r="F18" t="inlineStr">
        <is>
          <t>Taille dans le bois ancestral. Precision absolue.</t>
        </is>
      </c>
      <c r="G18" t="n">
        <v>15</v>
      </c>
      <c r="H18" t="n">
        <v>10</v>
      </c>
      <c r="I18" t="n">
        <v>0</v>
      </c>
      <c r="J18" t="n">
        <v>0</v>
      </c>
    </row>
    <row r="19">
      <c r="A19" t="inlineStr">
        <is>
          <t>crystal_staff</t>
        </is>
      </c>
      <c r="B19" t="inlineStr">
        <is>
          <t>Baton de Cristal</t>
        </is>
      </c>
      <c r="C19" t="inlineStr">
        <is>
          <t>epic</t>
        </is>
      </c>
      <c r="D19" t="inlineStr">
        <is>
          <t>crystal-wand</t>
        </is>
      </c>
      <c r="E19" t="inlineStr">
        <is>
          <t>weapon_main</t>
        </is>
      </c>
      <c r="F19" t="inlineStr">
        <is>
          <t>Resonne avec la magie des cavernes.</t>
        </is>
      </c>
      <c r="G19" t="n">
        <v>8</v>
      </c>
      <c r="H19" t="n">
        <v>0</v>
      </c>
      <c r="I19" t="n">
        <v>18</v>
      </c>
      <c r="J19" t="n">
        <v>0</v>
      </c>
    </row>
    <row r="20">
      <c r="A20" t="inlineStr">
        <is>
          <t>shadow_cloak</t>
        </is>
      </c>
      <c r="B20" t="inlineStr">
        <is>
          <t>Cape des Ombres</t>
        </is>
      </c>
      <c r="C20" t="inlineStr">
        <is>
          <t>epic</t>
        </is>
      </c>
      <c r="D20" t="inlineStr">
        <is>
          <t>cloak</t>
        </is>
      </c>
      <c r="E20" t="inlineStr">
        <is>
          <t>cape</t>
        </is>
      </c>
      <c r="F20" t="inlineStr">
        <is>
          <t>Tissee de tenebres, elle dissipe une partie des coups.</t>
        </is>
      </c>
      <c r="G20" t="n">
        <v>0</v>
      </c>
      <c r="H20" t="n">
        <v>12</v>
      </c>
      <c r="I20" t="n">
        <v>0</v>
      </c>
      <c r="J20" t="n">
        <v>5</v>
      </c>
    </row>
    <row r="21">
      <c r="A21" t="inlineStr">
        <is>
          <t>dragon_blade</t>
        </is>
      </c>
      <c r="B21" t="inlineStr">
        <is>
          <t>Lame du Dragon</t>
        </is>
      </c>
      <c r="C21" t="inlineStr">
        <is>
          <t>legendary</t>
        </is>
      </c>
      <c r="D21" t="inlineStr">
        <is>
          <t>sword</t>
        </is>
      </c>
      <c r="E21" t="inlineStr">
        <is>
          <t>weapon_main</t>
        </is>
      </c>
      <c r="F21" t="inlineStr">
        <is>
          <t>Forgee dans les flammes d'un dragon des cavernes.</t>
        </is>
      </c>
      <c r="G21" t="n">
        <v>35</v>
      </c>
      <c r="H21" t="n">
        <v>5</v>
      </c>
      <c r="I21" t="n">
        <v>0</v>
      </c>
      <c r="J21" t="n">
        <v>0</v>
      </c>
    </row>
    <row r="22">
      <c r="A22" t="inlineStr">
        <is>
          <t>frost_shield</t>
        </is>
      </c>
      <c r="B22" t="inlineStr">
        <is>
          <t>Bouclier de Givre</t>
        </is>
      </c>
      <c r="C22" t="inlineStr">
        <is>
          <t>legendary</t>
        </is>
      </c>
      <c r="D22" t="inlineStr">
        <is>
          <t>round-shield</t>
        </is>
      </c>
      <c r="E22" t="inlineStr">
        <is>
          <t>armor</t>
        </is>
      </c>
      <c r="F22" t="inlineStr">
        <is>
          <t>Glace le sang de quiconque ose l'attaquer.</t>
        </is>
      </c>
      <c r="G22" t="n">
        <v>0</v>
      </c>
      <c r="H22" t="n">
        <v>0</v>
      </c>
      <c r="I22" t="n">
        <v>25</v>
      </c>
      <c r="J22" t="n">
        <v>35</v>
      </c>
    </row>
  </sheetData>
  <dataValidations count="2">
    <dataValidation sqref="C2:C200" showDropDown="0" showInputMessage="0" showErrorMessage="1" allowBlank="1" errorTitle="Valeur invalide" error="Valeur non valide" type="list">
      <formula1>"common,rare,epic,legendary"</formula1>
    </dataValidation>
    <dataValidation sqref="E2:E200" showDropDown="0" showInputMessage="0" showErrorMessage="1" allowBlank="1" errorTitle="Valeur invalide" error="Valeur non valide" type="list">
      <formula1>"weapon_main,weapon_secondary,armor,helmet,legs,cape,accessory_1,accessory_2"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2" customWidth="1" min="4" max="4"/>
    <col width="10" customWidth="1" min="5" max="5"/>
    <col width="16" customWidth="1" min="6" max="6"/>
    <col width="13" customWidth="1" min="7" max="7"/>
    <col width="12" customWidth="1" min="8" max="8"/>
    <col width="38" customWidth="1" min="9" max="9"/>
  </cols>
  <sheetData>
    <row r="1" ht="36" customHeight="1">
      <c r="A1" s="10" t="inlineStr">
        <is>
          <t>Identifiant unique</t>
        </is>
      </c>
      <c r="B1" s="10" t="inlineStr">
        <is>
          <t>Nom affiché</t>
        </is>
      </c>
      <c r="C1" s="10" t="inlineStr">
        <is>
          <t>Clé icône</t>
        </is>
      </c>
      <c r="D1" s="10" t="inlineStr">
        <is>
          <t>Élément</t>
        </is>
      </c>
      <c r="E1" s="24" t="inlineStr">
        <is>
          <t>Coût
en mana</t>
        </is>
      </c>
      <c r="F1" s="24" t="inlineStr">
        <is>
          <t>Type d'effet</t>
        </is>
      </c>
      <c r="G1" s="24" t="inlineStr">
        <is>
          <t>Puissance
(PV ou dégâts)</t>
        </is>
      </c>
      <c r="H1" s="24" t="inlineStr">
        <is>
          <t>1× par
combat ?</t>
        </is>
      </c>
      <c r="I1" s="24" t="inlineStr">
        <is>
          <t>Description</t>
        </is>
      </c>
    </row>
    <row r="2">
      <c r="A2" s="25" t="inlineStr">
        <is>
          <t>fireball</t>
        </is>
      </c>
      <c r="B2" s="25" t="inlineStr">
        <is>
          <t>Boule de Feu</t>
        </is>
      </c>
      <c r="C2" s="25" t="inlineStr">
        <is>
          <t>fire-ball</t>
        </is>
      </c>
      <c r="D2" s="25" t="inlineStr">
        <is>
          <t>fire</t>
        </is>
      </c>
      <c r="E2" s="26" t="n">
        <v>20</v>
      </c>
      <c r="F2" s="25" t="inlineStr">
        <is>
          <t>damage_flat</t>
        </is>
      </c>
      <c r="G2" s="26" t="n">
        <v>30</v>
      </c>
      <c r="H2" s="25" t="b">
        <v>0</v>
      </c>
      <c r="I2" s="25" t="inlineStr">
        <is>
          <t>Une sphère ardente jaillit de tes paumes.</t>
        </is>
      </c>
    </row>
    <row r="3">
      <c r="A3" s="17" t="inlineStr">
        <is>
          <t>holy_light</t>
        </is>
      </c>
      <c r="B3" s="17" t="inlineStr">
        <is>
          <t>Lumière Sacrée</t>
        </is>
      </c>
      <c r="C3" s="17" t="inlineStr">
        <is>
          <t>sun-priest</t>
        </is>
      </c>
      <c r="D3" s="17" t="inlineStr">
        <is>
          <t>holy</t>
        </is>
      </c>
      <c r="E3" s="18" t="n">
        <v>25</v>
      </c>
      <c r="F3" s="17" t="inlineStr">
        <is>
          <t>heal_flat</t>
        </is>
      </c>
      <c r="G3" s="18" t="n">
        <v>60</v>
      </c>
      <c r="H3" s="17" t="b">
        <v>0</v>
      </c>
      <c r="I3" s="17" t="inlineStr">
        <is>
          <t>Un rayon doré t'enveloppe et guérit tes blessures.</t>
        </is>
      </c>
    </row>
    <row r="4">
      <c r="A4" s="25" t="inlineStr">
        <is>
          <t>wind_strike</t>
        </is>
      </c>
      <c r="B4" s="25" t="inlineStr">
        <is>
          <t>Trait de Vent</t>
        </is>
      </c>
      <c r="C4" s="25" t="inlineStr">
        <is>
          <t>wind-slap</t>
        </is>
      </c>
      <c r="D4" s="25" t="inlineStr">
        <is>
          <t>wind</t>
        </is>
      </c>
      <c r="E4" s="26" t="n">
        <v>15</v>
      </c>
      <c r="F4" s="25" t="inlineStr">
        <is>
          <t>damage_flat</t>
        </is>
      </c>
      <c r="G4" s="26" t="n">
        <v>20</v>
      </c>
      <c r="H4" s="25" t="b">
        <v>0</v>
      </c>
      <c r="I4" s="25" t="inlineStr">
        <is>
          <t>Un coup d'air tranchant et précis.</t>
        </is>
      </c>
    </row>
    <row r="5">
      <c r="A5" t="inlineStr">
        <is>
          <t>ice_lance</t>
        </is>
      </c>
      <c r="B5" t="inlineStr">
        <is>
          <t>Lance de Glace</t>
        </is>
      </c>
      <c r="C5" t="inlineStr">
        <is>
          <t>ice-bolt</t>
        </is>
      </c>
      <c r="D5" t="inlineStr">
        <is>
          <t>water</t>
        </is>
      </c>
      <c r="E5" t="n">
        <v>25</v>
      </c>
      <c r="F5" t="inlineStr">
        <is>
          <t>damage_flat</t>
        </is>
      </c>
      <c r="G5" t="n">
        <v>35</v>
      </c>
      <c r="H5" t="b">
        <v>0</v>
      </c>
      <c r="I5" t="inlineStr">
        <is>
          <t>Une lance de glace transperce l'ennemi de part en part.</t>
        </is>
      </c>
    </row>
    <row r="6">
      <c r="A6" t="inlineStr">
        <is>
          <t>thunder_bolt</t>
        </is>
      </c>
      <c r="B6" t="inlineStr">
        <is>
          <t>Eclair Foudroyant</t>
        </is>
      </c>
      <c r="C6" t="inlineStr">
        <is>
          <t>lightning-bolt</t>
        </is>
      </c>
      <c r="D6" t="inlineStr">
        <is>
          <t>wind</t>
        </is>
      </c>
      <c r="E6" t="n">
        <v>30</v>
      </c>
      <c r="F6" t="inlineStr">
        <is>
          <t>damage_flat</t>
        </is>
      </c>
      <c r="G6" t="n">
        <v>45</v>
      </c>
      <c r="H6" t="b">
        <v>0</v>
      </c>
      <c r="I6" t="inlineStr">
        <is>
          <t>La foudre s'abat sur le boss avec fracas.</t>
        </is>
      </c>
    </row>
    <row r="7">
      <c r="A7" t="inlineStr">
        <is>
          <t>poison_cloud</t>
        </is>
      </c>
      <c r="B7" t="inlineStr">
        <is>
          <t>Nuage Toxique</t>
        </is>
      </c>
      <c r="C7" t="inlineStr">
        <is>
          <t>cloud</t>
        </is>
      </c>
      <c r="D7" t="inlineStr">
        <is>
          <t>dark</t>
        </is>
      </c>
      <c r="E7" t="n">
        <v>20</v>
      </c>
      <c r="F7" t="inlineStr">
        <is>
          <t>damage_flat</t>
        </is>
      </c>
      <c r="G7" t="n">
        <v>25</v>
      </c>
      <c r="H7" t="b">
        <v>0</v>
      </c>
      <c r="I7" t="inlineStr">
        <is>
          <t>Un brouillard corrosif enveloppe et brule l'ennemi.</t>
        </is>
      </c>
    </row>
    <row r="8">
      <c r="A8" t="inlineStr">
        <is>
          <t>divine_shield</t>
        </is>
      </c>
      <c r="B8" t="inlineStr">
        <is>
          <t>Bouclier Divin</t>
        </is>
      </c>
      <c r="C8" t="inlineStr">
        <is>
          <t>shield</t>
        </is>
      </c>
      <c r="D8" t="inlineStr">
        <is>
          <t>holy</t>
        </is>
      </c>
      <c r="E8" t="n">
        <v>40</v>
      </c>
      <c r="F8" t="inlineStr">
        <is>
          <t>heal_flat</t>
        </is>
      </c>
      <c r="G8" t="n">
        <v>80</v>
      </c>
      <c r="H8" t="b">
        <v>0</v>
      </c>
      <c r="I8" t="inlineStr">
        <is>
          <t>Une protection lumineuse absorbe les prochains coups.</t>
        </is>
      </c>
    </row>
    <row r="9">
      <c r="A9" t="inlineStr">
        <is>
          <t>regen_aura</t>
        </is>
      </c>
      <c r="B9" t="inlineStr">
        <is>
          <t>Aura de Regeneration</t>
        </is>
      </c>
      <c r="C9" t="inlineStr">
        <is>
          <t>healing</t>
        </is>
      </c>
      <c r="D9" t="inlineStr">
        <is>
          <t>holy</t>
        </is>
      </c>
      <c r="E9" t="n">
        <v>35</v>
      </c>
      <c r="F9" t="inlineStr">
        <is>
          <t>heal_flat</t>
        </is>
      </c>
      <c r="G9" t="n">
        <v>50</v>
      </c>
      <c r="H9" t="b">
        <v>0</v>
      </c>
      <c r="I9" t="inlineStr">
        <is>
          <t>Tu recuperes progressivement tes forces au fil du combat.</t>
        </is>
      </c>
    </row>
    <row r="10">
      <c r="A10" t="inlineStr">
        <is>
          <t>shadow_strike</t>
        </is>
      </c>
      <c r="B10" t="inlineStr">
        <is>
          <t>Frappe des Ombres</t>
        </is>
      </c>
      <c r="C10" t="inlineStr">
        <is>
          <t>shadow-grasp</t>
        </is>
      </c>
      <c r="D10" t="inlineStr">
        <is>
          <t>dark</t>
        </is>
      </c>
      <c r="E10" t="n">
        <v>30</v>
      </c>
      <c r="F10" t="inlineStr">
        <is>
          <t>damage_flat</t>
        </is>
      </c>
      <c r="G10" t="n">
        <v>40</v>
      </c>
      <c r="H10" t="b">
        <v>0</v>
      </c>
      <c r="I10" t="inlineStr">
        <is>
          <t>Une attaque furtive jaillit depuis les tenebres.</t>
        </is>
      </c>
    </row>
    <row r="11">
      <c r="A11" t="inlineStr">
        <is>
          <t>blizzard</t>
        </is>
      </c>
      <c r="B11" t="inlineStr">
        <is>
          <t>Blizzard</t>
        </is>
      </c>
      <c r="C11" t="inlineStr">
        <is>
          <t>snowflake</t>
        </is>
      </c>
      <c r="D11" t="inlineStr">
        <is>
          <t>water</t>
        </is>
      </c>
      <c r="E11" t="n">
        <v>45</v>
      </c>
      <c r="F11" t="inlineStr">
        <is>
          <t>damage_flat</t>
        </is>
      </c>
      <c r="G11" t="n">
        <v>60</v>
      </c>
      <c r="H11" t="b">
        <v>0</v>
      </c>
      <c r="I11" t="inlineStr">
        <is>
          <t>Une tempete de glace martele l'ennemi sans relache.</t>
        </is>
      </c>
    </row>
    <row r="12">
      <c r="A12" t="inlineStr">
        <is>
          <t>meteor</t>
        </is>
      </c>
      <c r="B12" t="inlineStr">
        <is>
          <t>Meteore</t>
        </is>
      </c>
      <c r="C12" t="inlineStr">
        <is>
          <t>meteor-impact</t>
        </is>
      </c>
      <c r="D12" t="inlineStr">
        <is>
          <t>fire</t>
        </is>
      </c>
      <c r="E12" t="n">
        <v>60</v>
      </c>
      <c r="F12" t="inlineStr">
        <is>
          <t>damage_flat</t>
        </is>
      </c>
      <c r="G12" t="n">
        <v>100</v>
      </c>
      <c r="H12" t="b">
        <v>1</v>
      </c>
      <c r="I12" t="inlineStr">
        <is>
          <t>Un rocher enflamme s'ecrase sur l'ennemi. Imparable.</t>
        </is>
      </c>
    </row>
    <row r="13">
      <c r="A13" t="inlineStr">
        <is>
          <t>full_restore</t>
        </is>
      </c>
      <c r="B13" t="inlineStr">
        <is>
          <t>Restauration Totale</t>
        </is>
      </c>
      <c r="C13" t="inlineStr">
        <is>
          <t>health-normal</t>
        </is>
      </c>
      <c r="D13" t="inlineStr">
        <is>
          <t>holy</t>
        </is>
      </c>
      <c r="E13" t="n">
        <v>80</v>
      </c>
      <c r="F13" t="inlineStr">
        <is>
          <t>heal_flat</t>
        </is>
      </c>
      <c r="G13" t="n">
        <v>200</v>
      </c>
      <c r="H13" t="b">
        <v>1</v>
      </c>
      <c r="I13" t="inlineStr">
        <is>
          <t>Tu es entierement soigne en plein combat.</t>
        </is>
      </c>
    </row>
  </sheetData>
  <dataValidations count="3">
    <dataValidation sqref="D2:D200" showDropDown="0" showInputMessage="0" showErrorMessage="1" allowBlank="1" errorTitle="Valeur invalide" error="Valeur non valide" type="list">
      <formula1>"fire,wind,water,dark,holy,earth,ice"</formula1>
    </dataValidation>
    <dataValidation sqref="F2:F200" showDropDown="0" showInputMessage="0" showErrorMessage="1" allowBlank="1" errorTitle="Valeur invalide" error="Valeur non valide" type="list">
      <formula1>"damage_flat,heal_flat,damage_percent,shield,buff_force,buff_agility,buff_endurance,heal"</formula1>
    </dataValidation>
    <dataValidation sqref="H2:H200" showDropDown="0" showInputMessage="0" showErrorMessage="1" allowBlank="1" errorTitle="Valeur invalide" error="Valeur non valide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97706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9" customWidth="1" min="4" max="4"/>
    <col width="18" customWidth="1" min="5" max="5"/>
    <col width="9" customWidth="1" min="6" max="6"/>
    <col width="18" customWidth="1" min="7" max="7"/>
    <col width="9" customWidth="1" min="8" max="8"/>
  </cols>
  <sheetData>
    <row r="1" ht="36" customHeight="1">
      <c r="A1" s="10" t="inlineStr">
        <is>
          <t>ID de l'arme
(doit exister onglet Armes)</t>
        </is>
      </c>
      <c r="B1" s="10" t="inlineStr">
        <is>
          <t>Coût
en or</t>
        </is>
      </c>
      <c r="C1" s="32" t="inlineStr">
        <is>
          <t>Matériau 1
ID</t>
        </is>
      </c>
      <c r="D1" s="32" t="inlineStr">
        <is>
          <t>Mat 1
Qté</t>
        </is>
      </c>
      <c r="E1" s="32" t="inlineStr">
        <is>
          <t>Matériau 2
ID</t>
        </is>
      </c>
      <c r="F1" s="32" t="inlineStr">
        <is>
          <t>Mat 2
Qté</t>
        </is>
      </c>
      <c r="G1" s="32" t="inlineStr">
        <is>
          <t>Matériau 3
ID</t>
        </is>
      </c>
      <c r="H1" s="32" t="inlineStr">
        <is>
          <t>Mat 3
Qté</t>
        </is>
      </c>
    </row>
    <row r="2">
      <c r="A2" s="33" t="inlineStr">
        <is>
          <t>sword_rusty</t>
        </is>
      </c>
      <c r="B2" s="34" t="n">
        <v>50</v>
      </c>
      <c r="C2" s="33" t="inlineStr">
        <is>
          <t>iron_raw</t>
        </is>
      </c>
      <c r="D2" s="34" t="n">
        <v>2</v>
      </c>
      <c r="E2" s="33" t="inlineStr">
        <is>
          <t>wood_dark</t>
        </is>
      </c>
      <c r="F2" s="34" t="n">
        <v>1</v>
      </c>
      <c r="G2" s="33" t="inlineStr"/>
      <c r="H2" s="34" t="n">
        <v>0</v>
      </c>
    </row>
    <row r="3">
      <c r="A3" s="17" t="inlineStr">
        <is>
          <t>axe_woodcutter</t>
        </is>
      </c>
      <c r="B3" s="18" t="n">
        <v>60</v>
      </c>
      <c r="C3" s="17" t="inlineStr">
        <is>
          <t>wood_dark</t>
        </is>
      </c>
      <c r="D3" s="18" t="n">
        <v>2</v>
      </c>
      <c r="E3" s="17" t="inlineStr">
        <is>
          <t>iron_raw</t>
        </is>
      </c>
      <c r="F3" s="18" t="n">
        <v>1</v>
      </c>
      <c r="G3" s="17" t="inlineStr"/>
      <c r="H3" s="18" t="n">
        <v>0</v>
      </c>
    </row>
    <row r="4">
      <c r="A4" s="33" t="inlineStr">
        <is>
          <t>bow_hunter</t>
        </is>
      </c>
      <c r="B4" s="34" t="n">
        <v>120</v>
      </c>
      <c r="C4" s="33" t="inlineStr">
        <is>
          <t>wood_dark</t>
        </is>
      </c>
      <c r="D4" s="34" t="n">
        <v>3</v>
      </c>
      <c r="E4" s="33" t="inlineStr">
        <is>
          <t>silver_fang</t>
        </is>
      </c>
      <c r="F4" s="34" t="n">
        <v>1</v>
      </c>
      <c r="G4" s="33" t="inlineStr"/>
      <c r="H4" s="34" t="n">
        <v>0</v>
      </c>
    </row>
    <row r="5">
      <c r="A5" s="17" t="inlineStr">
        <is>
          <t>sword_knight</t>
        </is>
      </c>
      <c r="B5" s="18" t="n">
        <v>200</v>
      </c>
      <c r="C5" s="17" t="inlineStr">
        <is>
          <t>silver_fang</t>
        </is>
      </c>
      <c r="D5" s="18" t="n">
        <v>3</v>
      </c>
      <c r="E5" s="17" t="inlineStr">
        <is>
          <t>iron_raw</t>
        </is>
      </c>
      <c r="F5" s="18" t="n">
        <v>2</v>
      </c>
      <c r="G5" s="17" t="inlineStr">
        <is>
          <t>rune_bone</t>
        </is>
      </c>
      <c r="H5" s="18" t="n">
        <v>1</v>
      </c>
    </row>
    <row r="6">
      <c r="A6" s="33" t="inlineStr">
        <is>
          <t>staff_druid</t>
        </is>
      </c>
      <c r="B6" s="34" t="n">
        <v>300</v>
      </c>
      <c r="C6" s="33" t="inlineStr">
        <is>
          <t>wood_dark</t>
        </is>
      </c>
      <c r="D6" s="34" t="n">
        <v>2</v>
      </c>
      <c r="E6" s="33" t="inlineStr">
        <is>
          <t>rune_bone</t>
        </is>
      </c>
      <c r="F6" s="34" t="n">
        <v>1</v>
      </c>
      <c r="G6" s="33" t="inlineStr">
        <is>
          <t>mana_crystal</t>
        </is>
      </c>
      <c r="H6" s="3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C3AED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2" customWidth="1" min="4" max="4"/>
    <col width="36" customWidth="1" min="5" max="5"/>
    <col width="16" customWidth="1" min="6" max="6"/>
    <col width="10" customWidth="1" min="7" max="7"/>
    <col width="18" customWidth="1" min="8" max="8"/>
    <col width="9" customWidth="1" min="9" max="9"/>
    <col width="18" customWidth="1" min="10" max="10"/>
    <col width="9" customWidth="1" min="11" max="11"/>
  </cols>
  <sheetData>
    <row r="1" ht="36" customHeight="1">
      <c r="A1" s="10" t="inlineStr">
        <is>
          <t>Identifiant
unique</t>
        </is>
      </c>
      <c r="B1" s="10" t="inlineStr">
        <is>
          <t>Nom affiché</t>
        </is>
      </c>
      <c r="C1" s="10" t="inlineStr">
        <is>
          <t>Clé icône</t>
        </is>
      </c>
      <c r="D1" s="10" t="inlineStr">
        <is>
          <t>Rareté</t>
        </is>
      </c>
      <c r="E1" s="10" t="inlineStr">
        <is>
          <t>Description</t>
        </is>
      </c>
      <c r="F1" s="10" t="inlineStr">
        <is>
          <t>Effet
(heal/damage…)</t>
        </is>
      </c>
      <c r="G1" s="10" t="inlineStr">
        <is>
          <t>Coût
en or</t>
        </is>
      </c>
      <c r="H1" s="24" t="inlineStr">
        <is>
          <t>Ingrédient 1
ID</t>
        </is>
      </c>
      <c r="I1" s="24" t="inlineStr">
        <is>
          <t>Ing 1
Qté</t>
        </is>
      </c>
      <c r="J1" s="24" t="inlineStr">
        <is>
          <t>Ingrédient 2
ID</t>
        </is>
      </c>
      <c r="K1" s="24" t="inlineStr">
        <is>
          <t>Ing 2
Qté</t>
        </is>
      </c>
    </row>
    <row r="2">
      <c r="A2" s="30" t="inlineStr">
        <is>
          <t>potion_heal</t>
        </is>
      </c>
      <c r="B2" s="30" t="inlineStr">
        <is>
          <t>Potion de soin</t>
        </is>
      </c>
      <c r="C2" s="30" t="inlineStr">
        <is>
          <t>standing-potion</t>
        </is>
      </c>
      <c r="D2" s="30" t="inlineStr">
        <is>
          <t>common</t>
        </is>
      </c>
      <c r="E2" s="30" t="inlineStr">
        <is>
          <t>+50 PV en combat.</t>
        </is>
      </c>
      <c r="F2" s="30" t="inlineStr">
        <is>
          <t>heal</t>
        </is>
      </c>
      <c r="G2" s="31" t="n">
        <v>0</v>
      </c>
      <c r="H2" s="30" t="inlineStr">
        <is>
          <t>moon_herb</t>
        </is>
      </c>
      <c r="I2" s="31" t="n">
        <v>2</v>
      </c>
      <c r="J2" s="30" t="inlineStr"/>
      <c r="K2" s="31" t="n">
        <v>0</v>
      </c>
    </row>
  </sheetData>
  <dataValidations count="2">
    <dataValidation sqref="D2:D200" showDropDown="0" showInputMessage="0" showErrorMessage="1" allowBlank="1" errorTitle="Valeur invalide" error="Valeur non valide" type="list">
      <formula1>"common,rare,epic,legendary"</formula1>
    </dataValidation>
    <dataValidation sqref="F2:F200" showDropDown="0" showInputMessage="0" showErrorMessage="1" allowBlank="1" errorTitle="Valeur invalide" error="Valeur non valide" type="list">
      <formula1>"damage_flat,heal_flat,damage_percent,shield,buff_force,buff_agility,buff_endurance,heal"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8716C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20" customWidth="1" min="4" max="4"/>
    <col width="40" customWidth="1" min="5" max="5"/>
  </cols>
  <sheetData>
    <row r="1" ht="36" customHeight="1">
      <c r="A1" s="10" t="inlineStr">
        <is>
          <t>Identifiant unique
(utilisé dans Boss &gt; drops)</t>
        </is>
      </c>
      <c r="B1" s="10" t="inlineStr">
        <is>
          <t>Nom affiché</t>
        </is>
      </c>
      <c r="C1" s="10" t="inlineStr">
        <is>
          <t>Rareté</t>
        </is>
      </c>
      <c r="D1" s="10" t="inlineStr">
        <is>
          <t>Clé icône
(optionnel)</t>
        </is>
      </c>
      <c r="E1" s="10" t="inlineStr">
        <is>
          <t>Description
(optionnel)</t>
        </is>
      </c>
    </row>
    <row r="2">
      <c r="A2" s="35" t="inlineStr">
        <is>
          <t>wood_dark</t>
        </is>
      </c>
      <c r="B2" s="35" t="inlineStr">
        <is>
          <t>Bois sombre</t>
        </is>
      </c>
      <c r="C2" s="35" t="inlineStr">
        <is>
          <t>common</t>
        </is>
      </c>
      <c r="D2" s="35" t="inlineStr">
        <is>
          <t>wood-pile</t>
        </is>
      </c>
      <c r="E2" s="35" t="inlineStr">
        <is>
          <t>Bois noirci par les ombres de la forêt.</t>
        </is>
      </c>
    </row>
    <row r="3">
      <c r="A3" s="17" t="inlineStr">
        <is>
          <t>iron_raw</t>
        </is>
      </c>
      <c r="B3" s="17" t="inlineStr">
        <is>
          <t>Fer brut</t>
        </is>
      </c>
      <c r="C3" s="17" t="inlineStr">
        <is>
          <t>common</t>
        </is>
      </c>
      <c r="D3" s="17" t="inlineStr">
        <is>
          <t>metal-bar</t>
        </is>
      </c>
      <c r="E3" s="17" t="inlineStr">
        <is>
          <t>Lourd et tranchant à l'état brut.</t>
        </is>
      </c>
    </row>
    <row r="4">
      <c r="A4" s="35" t="inlineStr">
        <is>
          <t>silver_fang</t>
        </is>
      </c>
      <c r="B4" s="35" t="inlineStr">
        <is>
          <t>Crocs argentés</t>
        </is>
      </c>
      <c r="C4" s="35" t="inlineStr">
        <is>
          <t>rare</t>
        </is>
      </c>
      <c r="D4" s="35" t="inlineStr">
        <is>
          <t>animal-skull</t>
        </is>
      </c>
      <c r="E4" s="35" t="inlineStr">
        <is>
          <t>Crocs prélevés sur des bêtes féroces.</t>
        </is>
      </c>
    </row>
    <row r="5">
      <c r="A5" s="17" t="inlineStr">
        <is>
          <t>rune_bone</t>
        </is>
      </c>
      <c r="B5" s="17" t="inlineStr">
        <is>
          <t>Os runique</t>
        </is>
      </c>
      <c r="C5" s="17" t="inlineStr">
        <is>
          <t>rare</t>
        </is>
      </c>
      <c r="D5" s="17" t="inlineStr">
        <is>
          <t>bone-knife</t>
        </is>
      </c>
      <c r="E5" s="17" t="inlineStr">
        <is>
          <t>Os gravé de symboles anciens.</t>
        </is>
      </c>
    </row>
    <row r="6">
      <c r="A6" s="35" t="inlineStr">
        <is>
          <t>mana_crystal</t>
        </is>
      </c>
      <c r="B6" s="35" t="inlineStr">
        <is>
          <t>Cristal de mana</t>
        </is>
      </c>
      <c r="C6" s="35" t="inlineStr">
        <is>
          <t>epic</t>
        </is>
      </c>
      <c r="D6" s="35" t="inlineStr">
        <is>
          <t>crystal-cluster</t>
        </is>
      </c>
      <c r="E6" s="35" t="inlineStr">
        <is>
          <t>Concentré pur d'énergie magique.</t>
        </is>
      </c>
    </row>
    <row r="7">
      <c r="A7" t="inlineStr">
        <is>
          <t>crystal_shard</t>
        </is>
      </c>
      <c r="B7" t="inlineStr">
        <is>
          <t>Eclat de Cristal</t>
        </is>
      </c>
      <c r="C7" t="inlineStr">
        <is>
          <t>common</t>
        </is>
      </c>
      <c r="D7" t="inlineStr">
        <is>
          <t>crystal-cluster</t>
        </is>
      </c>
      <c r="E7" t="inlineStr">
        <is>
          <t>Un fragment brillant arraché aux parois des cavernes.</t>
        </is>
      </c>
    </row>
    <row r="8">
      <c r="A8" t="inlineStr">
        <is>
          <t>obsidian_chip</t>
        </is>
      </c>
      <c r="B8" t="inlineStr">
        <is>
          <t>Eclat d'Obsidienne</t>
        </is>
      </c>
      <c r="C8" t="inlineStr">
        <is>
          <t>rare</t>
        </is>
      </c>
      <c r="D8" t="inlineStr">
        <is>
          <t>stone-tablet</t>
        </is>
      </c>
      <c r="E8" t="inlineStr">
        <is>
          <t>Pierre volcanique noire comme la nuit.</t>
        </is>
      </c>
    </row>
    <row r="9">
      <c r="A9" t="inlineStr">
        <is>
          <t>frost_core</t>
        </is>
      </c>
      <c r="B9" t="inlineStr">
        <is>
          <t>Noyau de Givre</t>
        </is>
      </c>
      <c r="C9" t="inlineStr">
        <is>
          <t>rare</t>
        </is>
      </c>
      <c r="D9" t="inlineStr">
        <is>
          <t>ice-cube</t>
        </is>
      </c>
      <c r="E9" t="inlineStr">
        <is>
          <t>Un coeur de glace qui ne fond jamais.</t>
        </is>
      </c>
    </row>
    <row r="10">
      <c r="A10" t="inlineStr">
        <is>
          <t>dragon_scale</t>
        </is>
      </c>
      <c r="B10" t="inlineStr">
        <is>
          <t>Ecaille de Dragon</t>
        </is>
      </c>
      <c r="C10" t="inlineStr">
        <is>
          <t>epic</t>
        </is>
      </c>
      <c r="D10" t="inlineStr">
        <is>
          <t>scales</t>
        </is>
      </c>
      <c r="E10" t="inlineStr">
        <is>
          <t>Resistante a presque tout. Presque.</t>
        </is>
      </c>
    </row>
    <row r="11">
      <c r="A11" t="inlineStr">
        <is>
          <t>void_essence</t>
        </is>
      </c>
      <c r="B11" t="inlineStr">
        <is>
          <t>Essence du Vide</t>
        </is>
      </c>
      <c r="C11" t="inlineStr">
        <is>
          <t>legendary</t>
        </is>
      </c>
      <c r="D11" t="inlineStr">
        <is>
          <t>magic-swirl</t>
        </is>
      </c>
      <c r="E11" t="inlineStr">
        <is>
          <t>Distille l'obscurite pure en une forme tangible.</t>
        </is>
      </c>
    </row>
  </sheetData>
  <dataValidations count="1">
    <dataValidation sqref="C2:C200" showDropDown="0" showInputMessage="0" showErrorMessage="1" allowBlank="1" errorTitle="Valeur invalide" error="Valeur non valide" type="list">
      <formula1>"common,rare,epic,legendary"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6A34A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  <col width="20" customWidth="1" min="4" max="4"/>
    <col width="40" customWidth="1" min="5" max="5"/>
  </cols>
  <sheetData>
    <row r="1" ht="36" customHeight="1">
      <c r="A1" s="10" t="inlineStr">
        <is>
          <t>Identifiant unique
(utilisé dans Boss &gt; drops et Recettes Sorcière)</t>
        </is>
      </c>
      <c r="B1" s="10" t="inlineStr">
        <is>
          <t>Nom affiché</t>
        </is>
      </c>
      <c r="C1" s="10" t="inlineStr">
        <is>
          <t>Rareté</t>
        </is>
      </c>
      <c r="D1" s="10" t="inlineStr">
        <is>
          <t>Clé icône
(optionnel)</t>
        </is>
      </c>
      <c r="E1" s="10" t="inlineStr">
        <is>
          <t>Description
(optionnel)</t>
        </is>
      </c>
    </row>
    <row r="2">
      <c r="A2" s="30" t="inlineStr">
        <is>
          <t>moon_herb</t>
        </is>
      </c>
      <c r="B2" s="30" t="inlineStr">
        <is>
          <t>Herbe lunaire</t>
        </is>
      </c>
      <c r="C2" s="30" t="inlineStr">
        <is>
          <t>common</t>
        </is>
      </c>
      <c r="D2" s="30" t="inlineStr">
        <is>
          <t>three-leaves</t>
        </is>
      </c>
      <c r="E2" s="30" t="inlineStr">
        <is>
          <t>Pousse uniquement les nuits sans lune.</t>
        </is>
      </c>
    </row>
    <row r="3">
      <c r="A3" s="17" t="inlineStr">
        <is>
          <t>wolf_blood</t>
        </is>
      </c>
      <c r="B3" s="17" t="inlineStr">
        <is>
          <t>Sang de loup</t>
        </is>
      </c>
      <c r="C3" s="17" t="inlineStr">
        <is>
          <t>rare</t>
        </is>
      </c>
      <c r="D3" s="17" t="inlineStr">
        <is>
          <t>water-drop</t>
        </is>
      </c>
      <c r="E3" s="17" t="inlineStr">
        <is>
          <t>Encore chaud et empli de fureur.</t>
        </is>
      </c>
    </row>
    <row r="4">
      <c r="A4" s="30" t="inlineStr">
        <is>
          <t>fairy_tear</t>
        </is>
      </c>
      <c r="B4" s="30" t="inlineStr">
        <is>
          <t>Larme de fée</t>
        </is>
      </c>
      <c r="C4" s="30" t="inlineStr">
        <is>
          <t>epic</t>
        </is>
      </c>
      <c r="D4" s="30" t="inlineStr">
        <is>
          <t>crystal-shine</t>
        </is>
      </c>
      <c r="E4" s="30" t="inlineStr">
        <is>
          <t>Cristallise les rêves en pouvoir.</t>
        </is>
      </c>
    </row>
    <row r="5">
      <c r="A5" t="inlineStr">
        <is>
          <t>cave_moss</t>
        </is>
      </c>
      <c r="B5" t="inlineStr">
        <is>
          <t>Mousse des Cavernes</t>
        </is>
      </c>
      <c r="C5" t="inlineStr">
        <is>
          <t>common</t>
        </is>
      </c>
      <c r="D5" t="inlineStr">
        <is>
          <t>sprout</t>
        </is>
      </c>
      <c r="E5" t="inlineStr">
        <is>
          <t>Pousse sur les rochers humides des grottes.</t>
        </is>
      </c>
    </row>
    <row r="6">
      <c r="A6" t="inlineStr">
        <is>
          <t>ice_flower</t>
        </is>
      </c>
      <c r="B6" t="inlineStr">
        <is>
          <t>Fleur de Givre</t>
        </is>
      </c>
      <c r="C6" t="inlineStr">
        <is>
          <t>rare</t>
        </is>
      </c>
      <c r="D6" t="inlineStr">
        <is>
          <t>flower-pot</t>
        </is>
      </c>
      <c r="E6" t="inlineStr">
        <is>
          <t>Eclot uniquement dans les endroits les plus froids.</t>
        </is>
      </c>
    </row>
    <row r="7">
      <c r="A7" t="inlineStr">
        <is>
          <t>shadow_dust</t>
        </is>
      </c>
      <c r="B7" t="inlineStr">
        <is>
          <t>Poussiere d'Ombre</t>
        </is>
      </c>
      <c r="C7" t="inlineStr">
        <is>
          <t>epic</t>
        </is>
      </c>
      <c r="D7" t="inlineStr">
        <is>
          <t>sparkles</t>
        </is>
      </c>
      <c r="E7" t="inlineStr">
        <is>
          <t>Les ombres laissent derriere elles cette poudre mysterieuse.</t>
        </is>
      </c>
    </row>
  </sheetData>
  <dataValidations count="1">
    <dataValidation sqref="C2:C200" showDropDown="0" showInputMessage="0" showErrorMessage="1" allowBlank="1" errorTitle="Valeur invalide" error="Valeur non valide" type="list">
      <formula1>"common,rare,epic,legendary"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D97706"/>
    <outlinePr summaryBelow="1" summaryRight="1"/>
    <pageSetUpPr/>
  </sheetPr>
  <dimension ref="A1:J6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2" customWidth="1" min="9" max="9"/>
    <col width="10" customWidth="1" min="10" max="10"/>
  </cols>
  <sheetData>
    <row r="1" ht="36" customHeight="1">
      <c r="A1" s="36" t="inlineStr">
        <is>
          <t>📈  SYSTÈME DE PROGRESSION — Montée en niveau</t>
        </is>
      </c>
      <c r="B1" s="63" t="n"/>
      <c r="C1" s="63" t="n"/>
      <c r="D1" s="63" t="n"/>
      <c r="E1" s="63" t="n"/>
      <c r="F1" s="63" t="n"/>
      <c r="G1" s="63" t="n"/>
      <c r="H1" s="63" t="n"/>
      <c r="I1" s="63" t="n"/>
      <c r="J1" s="64" t="n"/>
    </row>
    <row r="2" ht="20" customHeight="1">
      <c r="A2" s="37" t="inlineStr">
        <is>
          <t>Les cellules en JAUNE sont les valeurs que tu peux modifier. Le tableau se recalcule automatiquement.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4" t="n"/>
    </row>
    <row r="4" ht="26" customHeight="1">
      <c r="A4" s="38" t="inlineStr">
        <is>
          <t>⚙️  PARAMÈTRES XP</t>
        </is>
      </c>
      <c r="B4" s="63" t="n"/>
      <c r="C4" s="63" t="n"/>
      <c r="D4" s="63" t="n"/>
      <c r="E4" s="64" t="n"/>
    </row>
    <row r="5" ht="22" customHeight="1">
      <c r="A5" s="3" t="inlineStr">
        <is>
          <t>Paramètre</t>
        </is>
      </c>
      <c r="B5" s="3" t="inlineStr">
        <is>
          <t>Constante code</t>
        </is>
      </c>
      <c r="C5" s="3" t="inlineStr">
        <is>
          <t>Valeur (modifiable)</t>
        </is>
      </c>
      <c r="D5" s="3" t="inlineStr">
        <is>
          <t>Description</t>
        </is>
      </c>
    </row>
    <row r="6" ht="28" customHeight="1">
      <c r="A6" s="39" t="inlineStr">
        <is>
          <t>Multiplicateur XP de base</t>
        </is>
      </c>
      <c r="B6" s="40" t="inlineStr">
        <is>
          <t>XP_BASE_MULT</t>
        </is>
      </c>
      <c r="C6" s="41" t="n">
        <v>200</v>
      </c>
      <c r="D6" s="42" t="inlineStr">
        <is>
          <t>Formule : XP nécessaire = XP_BASE_MULT × (niveau + 1)
Ex : niveau 1→2 = 200×2 = 400 XP</t>
        </is>
      </c>
    </row>
    <row r="7" ht="28" customHeight="1">
      <c r="A7" s="43" t="inlineStr">
        <is>
          <t>Niveau maximum du joueur</t>
        </is>
      </c>
      <c r="B7" s="44" t="inlineStr">
        <is>
          <t>MAX_LEVEL</t>
        </is>
      </c>
      <c r="C7" s="41" t="n">
        <v>50</v>
      </c>
      <c r="D7" s="45" t="inlineStr">
        <is>
          <t>Au-delà de ce niveau, plus de progression</t>
        </is>
      </c>
    </row>
    <row r="9" ht="26" customHeight="1">
      <c r="A9" s="46" t="inlineStr">
        <is>
          <t>⬆️  GAINS PAR MONTÉE DE NIVEAU (stats accordées à chaque level up)</t>
        </is>
      </c>
      <c r="B9" s="63" t="n"/>
      <c r="C9" s="63" t="n"/>
      <c r="D9" s="63" t="n"/>
      <c r="E9" s="64" t="n"/>
    </row>
    <row r="10" ht="22" customHeight="1">
      <c r="A10" s="3" t="inlineStr">
        <is>
          <t>Stat</t>
        </is>
      </c>
      <c r="B10" s="3" t="inlineStr">
        <is>
          <t>Champ JS</t>
        </is>
      </c>
      <c r="C10" s="3" t="inlineStr">
        <is>
          <t>Gain par niveau</t>
        </is>
      </c>
      <c r="D10" s="3" t="inlineStr">
        <is>
          <t>Description</t>
        </is>
      </c>
    </row>
    <row r="11" ht="24" customHeight="1">
      <c r="A11" s="43" t="inlineStr">
        <is>
          <t>Force</t>
        </is>
      </c>
      <c r="B11" s="44" t="inlineStr">
        <is>
          <t>stats.force</t>
        </is>
      </c>
      <c r="C11" s="41" t="n">
        <v>5</v>
      </c>
      <c r="D11" s="45" t="inlineStr">
        <is>
          <t>Augmente les dégâts de base en combat</t>
        </is>
      </c>
    </row>
    <row r="12" ht="24" customHeight="1">
      <c r="A12" s="39" t="inlineStr">
        <is>
          <t>Défense</t>
        </is>
      </c>
      <c r="B12" s="40" t="inlineStr">
        <is>
          <t>stats.defense</t>
        </is>
      </c>
      <c r="C12" s="41" t="n">
        <v>2</v>
      </c>
      <c r="D12" s="42" t="inlineStr">
        <is>
          <t>Réduit les dégâts reçus des boss</t>
        </is>
      </c>
    </row>
    <row r="13" ht="24" customHeight="1">
      <c r="A13" s="43" t="inlineStr">
        <is>
          <t>Vitesse</t>
        </is>
      </c>
      <c r="B13" s="44" t="inlineStr">
        <is>
          <t>stats.agility</t>
        </is>
      </c>
      <c r="C13" s="41" t="n">
        <v>2</v>
      </c>
      <c r="D13" s="45" t="inlineStr">
        <is>
          <t>Influence la vitesse d'attaque et l'esquive</t>
        </is>
      </c>
    </row>
    <row r="14" ht="24" customHeight="1">
      <c r="A14" s="39" t="inlineStr">
        <is>
          <t>Constitution</t>
        </is>
      </c>
      <c r="B14" s="40" t="inlineStr">
        <is>
          <t>stats.constitution</t>
        </is>
      </c>
      <c r="C14" s="41" t="n">
        <v>8</v>
      </c>
      <c r="D14" s="42" t="inlineStr">
        <is>
          <t>Augmente les PV max du joueur</t>
        </is>
      </c>
    </row>
    <row r="15" ht="24" customHeight="1">
      <c r="A15" s="43" t="inlineStr">
        <is>
          <t>Mana</t>
        </is>
      </c>
      <c r="B15" s="44" t="inlineStr">
        <is>
          <t>stats.mana</t>
        </is>
      </c>
      <c r="C15" s="41" t="n">
        <v>10</v>
      </c>
      <c r="D15" s="45" t="inlineStr">
        <is>
          <t>Augmente les PM max (sorts)</t>
        </is>
      </c>
    </row>
    <row r="17" ht="26" customHeight="1">
      <c r="A17" s="47" t="inlineStr">
        <is>
          <t>📊  TABLEAU DES NIVEAUX  (calculé automatiquement à partir des paramètres)</t>
        </is>
      </c>
      <c r="B17" s="63" t="n"/>
      <c r="C17" s="63" t="n"/>
      <c r="D17" s="63" t="n"/>
      <c r="E17" s="63" t="n"/>
      <c r="F17" s="63" t="n"/>
      <c r="G17" s="63" t="n"/>
      <c r="H17" s="63" t="n"/>
      <c r="I17" s="63" t="n"/>
      <c r="J17" s="64" t="n"/>
    </row>
    <row r="18" ht="36" customHeight="1">
      <c r="A18" s="10" t="inlineStr">
        <is>
          <t>Niveau</t>
        </is>
      </c>
      <c r="B18" s="10" t="inlineStr">
        <is>
          <t>XP nécessaire
pour passer</t>
        </is>
      </c>
      <c r="C18" s="10" t="inlineStr">
        <is>
          <t>XP cumulée
depuis début</t>
        </is>
      </c>
      <c r="D18" s="10" t="inlineStr">
        <is>
          <t>Force
(total)</t>
        </is>
      </c>
      <c r="E18" s="10" t="inlineStr">
        <is>
          <t>Défense
(total)</t>
        </is>
      </c>
      <c r="F18" s="10" t="inlineStr">
        <is>
          <t>Vitesse
(total)</t>
        </is>
      </c>
      <c r="G18" s="10" t="inlineStr">
        <is>
          <t>Constitution
(total)</t>
        </is>
      </c>
      <c r="H18" s="10" t="inlineStr">
        <is>
          <t>Mana
(total)</t>
        </is>
      </c>
      <c r="I18" s="10" t="inlineStr">
        <is>
          <t>PV max
(= Constitution)</t>
        </is>
      </c>
      <c r="J18" s="10" t="inlineStr">
        <is>
          <t>Mana max</t>
        </is>
      </c>
    </row>
    <row r="19" ht="18" customHeight="1">
      <c r="A19" s="48" t="n">
        <v>1</v>
      </c>
      <c r="B19" s="48" t="n">
        <v>400</v>
      </c>
      <c r="C19" s="48" t="n">
        <v>0</v>
      </c>
      <c r="D19" s="48" t="n">
        <v>10</v>
      </c>
      <c r="E19" s="48" t="n">
        <v>5</v>
      </c>
      <c r="F19" s="48" t="n">
        <v>5</v>
      </c>
      <c r="G19" s="48" t="n">
        <v>100</v>
      </c>
      <c r="H19" s="48" t="n">
        <v>100</v>
      </c>
      <c r="I19" s="48" t="n">
        <v>100</v>
      </c>
      <c r="J19" s="48" t="n">
        <v>100</v>
      </c>
    </row>
    <row r="20" ht="18" customHeight="1">
      <c r="A20" s="49" t="n">
        <v>2</v>
      </c>
      <c r="B20" s="49" t="n">
        <v>600</v>
      </c>
      <c r="C20" s="49" t="n">
        <v>400</v>
      </c>
      <c r="D20" s="49" t="n">
        <v>15</v>
      </c>
      <c r="E20" s="49" t="n">
        <v>7</v>
      </c>
      <c r="F20" s="49" t="n">
        <v>7</v>
      </c>
      <c r="G20" s="49" t="n">
        <v>108</v>
      </c>
      <c r="H20" s="49" t="n">
        <v>110</v>
      </c>
      <c r="I20" s="49" t="n">
        <v>108</v>
      </c>
      <c r="J20" s="49" t="n">
        <v>110</v>
      </c>
    </row>
    <row r="21" ht="18" customHeight="1">
      <c r="A21" s="48" t="n">
        <v>3</v>
      </c>
      <c r="B21" s="48" t="n">
        <v>800</v>
      </c>
      <c r="C21" s="48" t="n">
        <v>1000</v>
      </c>
      <c r="D21" s="48" t="n">
        <v>20</v>
      </c>
      <c r="E21" s="48" t="n">
        <v>9</v>
      </c>
      <c r="F21" s="48" t="n">
        <v>9</v>
      </c>
      <c r="G21" s="48" t="n">
        <v>116</v>
      </c>
      <c r="H21" s="48" t="n">
        <v>120</v>
      </c>
      <c r="I21" s="48" t="n">
        <v>116</v>
      </c>
      <c r="J21" s="48" t="n">
        <v>120</v>
      </c>
    </row>
    <row r="22" ht="18" customHeight="1">
      <c r="A22" s="49" t="n">
        <v>4</v>
      </c>
      <c r="B22" s="49" t="n">
        <v>1000</v>
      </c>
      <c r="C22" s="49" t="n">
        <v>1800</v>
      </c>
      <c r="D22" s="49" t="n">
        <v>25</v>
      </c>
      <c r="E22" s="49" t="n">
        <v>11</v>
      </c>
      <c r="F22" s="49" t="n">
        <v>11</v>
      </c>
      <c r="G22" s="49" t="n">
        <v>124</v>
      </c>
      <c r="H22" s="49" t="n">
        <v>130</v>
      </c>
      <c r="I22" s="49" t="n">
        <v>124</v>
      </c>
      <c r="J22" s="49" t="n">
        <v>130</v>
      </c>
    </row>
    <row r="23" ht="18" customHeight="1">
      <c r="A23" s="50" t="n">
        <v>5</v>
      </c>
      <c r="B23" s="51" t="n">
        <v>1200</v>
      </c>
      <c r="C23" s="51" t="n">
        <v>2800</v>
      </c>
      <c r="D23" s="51" t="n">
        <v>30</v>
      </c>
      <c r="E23" s="51" t="n">
        <v>13</v>
      </c>
      <c r="F23" s="51" t="n">
        <v>13</v>
      </c>
      <c r="G23" s="51" t="n">
        <v>132</v>
      </c>
      <c r="H23" s="51" t="n">
        <v>140</v>
      </c>
      <c r="I23" s="51" t="n">
        <v>132</v>
      </c>
      <c r="J23" s="51" t="n">
        <v>140</v>
      </c>
    </row>
    <row r="24" ht="18" customHeight="1">
      <c r="A24" s="49" t="n">
        <v>6</v>
      </c>
      <c r="B24" s="49" t="n">
        <v>1400</v>
      </c>
      <c r="C24" s="49" t="n">
        <v>4000</v>
      </c>
      <c r="D24" s="49" t="n">
        <v>35</v>
      </c>
      <c r="E24" s="49" t="n">
        <v>15</v>
      </c>
      <c r="F24" s="49" t="n">
        <v>15</v>
      </c>
      <c r="G24" s="49" t="n">
        <v>140</v>
      </c>
      <c r="H24" s="49" t="n">
        <v>150</v>
      </c>
      <c r="I24" s="49" t="n">
        <v>140</v>
      </c>
      <c r="J24" s="49" t="n">
        <v>150</v>
      </c>
    </row>
    <row r="25" ht="18" customHeight="1">
      <c r="A25" s="48" t="n">
        <v>7</v>
      </c>
      <c r="B25" s="48" t="n">
        <v>1600</v>
      </c>
      <c r="C25" s="48" t="n">
        <v>5400</v>
      </c>
      <c r="D25" s="48" t="n">
        <v>40</v>
      </c>
      <c r="E25" s="48" t="n">
        <v>17</v>
      </c>
      <c r="F25" s="48" t="n">
        <v>17</v>
      </c>
      <c r="G25" s="48" t="n">
        <v>148</v>
      </c>
      <c r="H25" s="48" t="n">
        <v>160</v>
      </c>
      <c r="I25" s="48" t="n">
        <v>148</v>
      </c>
      <c r="J25" s="48" t="n">
        <v>160</v>
      </c>
    </row>
    <row r="26" ht="18" customHeight="1">
      <c r="A26" s="49" t="n">
        <v>8</v>
      </c>
      <c r="B26" s="49" t="n">
        <v>1800</v>
      </c>
      <c r="C26" s="49" t="n">
        <v>7000</v>
      </c>
      <c r="D26" s="49" t="n">
        <v>45</v>
      </c>
      <c r="E26" s="49" t="n">
        <v>19</v>
      </c>
      <c r="F26" s="49" t="n">
        <v>19</v>
      </c>
      <c r="G26" s="49" t="n">
        <v>156</v>
      </c>
      <c r="H26" s="49" t="n">
        <v>170</v>
      </c>
      <c r="I26" s="49" t="n">
        <v>156</v>
      </c>
      <c r="J26" s="49" t="n">
        <v>170</v>
      </c>
    </row>
    <row r="27" ht="18" customHeight="1">
      <c r="A27" s="48" t="n">
        <v>9</v>
      </c>
      <c r="B27" s="48" t="n">
        <v>2000</v>
      </c>
      <c r="C27" s="48" t="n">
        <v>8800</v>
      </c>
      <c r="D27" s="48" t="n">
        <v>50</v>
      </c>
      <c r="E27" s="48" t="n">
        <v>21</v>
      </c>
      <c r="F27" s="48" t="n">
        <v>21</v>
      </c>
      <c r="G27" s="48" t="n">
        <v>164</v>
      </c>
      <c r="H27" s="48" t="n">
        <v>180</v>
      </c>
      <c r="I27" s="48" t="n">
        <v>164</v>
      </c>
      <c r="J27" s="48" t="n">
        <v>180</v>
      </c>
    </row>
    <row r="28" ht="18" customHeight="1">
      <c r="A28" s="50" t="n">
        <v>10</v>
      </c>
      <c r="B28" s="51" t="n">
        <v>2200</v>
      </c>
      <c r="C28" s="51" t="n">
        <v>10800</v>
      </c>
      <c r="D28" s="51" t="n">
        <v>55</v>
      </c>
      <c r="E28" s="51" t="n">
        <v>23</v>
      </c>
      <c r="F28" s="51" t="n">
        <v>23</v>
      </c>
      <c r="G28" s="51" t="n">
        <v>172</v>
      </c>
      <c r="H28" s="51" t="n">
        <v>190</v>
      </c>
      <c r="I28" s="51" t="n">
        <v>172</v>
      </c>
      <c r="J28" s="51" t="n">
        <v>190</v>
      </c>
    </row>
    <row r="29" ht="18" customHeight="1">
      <c r="A29" s="48" t="n">
        <v>11</v>
      </c>
      <c r="B29" s="48" t="n">
        <v>2400</v>
      </c>
      <c r="C29" s="48" t="n">
        <v>13000</v>
      </c>
      <c r="D29" s="48" t="n">
        <v>60</v>
      </c>
      <c r="E29" s="48" t="n">
        <v>25</v>
      </c>
      <c r="F29" s="48" t="n">
        <v>25</v>
      </c>
      <c r="G29" s="48" t="n">
        <v>180</v>
      </c>
      <c r="H29" s="48" t="n">
        <v>200</v>
      </c>
      <c r="I29" s="48" t="n">
        <v>180</v>
      </c>
      <c r="J29" s="48" t="n">
        <v>200</v>
      </c>
    </row>
    <row r="30" ht="18" customHeight="1">
      <c r="A30" s="49" t="n">
        <v>12</v>
      </c>
      <c r="B30" s="49" t="n">
        <v>2600</v>
      </c>
      <c r="C30" s="49" t="n">
        <v>15400</v>
      </c>
      <c r="D30" s="49" t="n">
        <v>65</v>
      </c>
      <c r="E30" s="49" t="n">
        <v>27</v>
      </c>
      <c r="F30" s="49" t="n">
        <v>27</v>
      </c>
      <c r="G30" s="49" t="n">
        <v>188</v>
      </c>
      <c r="H30" s="49" t="n">
        <v>210</v>
      </c>
      <c r="I30" s="49" t="n">
        <v>188</v>
      </c>
      <c r="J30" s="49" t="n">
        <v>210</v>
      </c>
    </row>
    <row r="31" ht="18" customHeight="1">
      <c r="A31" s="48" t="n">
        <v>13</v>
      </c>
      <c r="B31" s="48" t="n">
        <v>2800</v>
      </c>
      <c r="C31" s="48" t="n">
        <v>18000</v>
      </c>
      <c r="D31" s="48" t="n">
        <v>70</v>
      </c>
      <c r="E31" s="48" t="n">
        <v>29</v>
      </c>
      <c r="F31" s="48" t="n">
        <v>29</v>
      </c>
      <c r="G31" s="48" t="n">
        <v>196</v>
      </c>
      <c r="H31" s="48" t="n">
        <v>220</v>
      </c>
      <c r="I31" s="48" t="n">
        <v>196</v>
      </c>
      <c r="J31" s="48" t="n">
        <v>220</v>
      </c>
    </row>
    <row r="32" ht="18" customHeight="1">
      <c r="A32" s="49" t="n">
        <v>14</v>
      </c>
      <c r="B32" s="49" t="n">
        <v>3000</v>
      </c>
      <c r="C32" s="49" t="n">
        <v>20800</v>
      </c>
      <c r="D32" s="49" t="n">
        <v>75</v>
      </c>
      <c r="E32" s="49" t="n">
        <v>31</v>
      </c>
      <c r="F32" s="49" t="n">
        <v>31</v>
      </c>
      <c r="G32" s="49" t="n">
        <v>204</v>
      </c>
      <c r="H32" s="49" t="n">
        <v>230</v>
      </c>
      <c r="I32" s="49" t="n">
        <v>204</v>
      </c>
      <c r="J32" s="49" t="n">
        <v>230</v>
      </c>
    </row>
    <row r="33" ht="18" customHeight="1">
      <c r="A33" s="50" t="n">
        <v>15</v>
      </c>
      <c r="B33" s="51" t="n">
        <v>3200</v>
      </c>
      <c r="C33" s="51" t="n">
        <v>23800</v>
      </c>
      <c r="D33" s="51" t="n">
        <v>80</v>
      </c>
      <c r="E33" s="51" t="n">
        <v>33</v>
      </c>
      <c r="F33" s="51" t="n">
        <v>33</v>
      </c>
      <c r="G33" s="51" t="n">
        <v>212</v>
      </c>
      <c r="H33" s="51" t="n">
        <v>240</v>
      </c>
      <c r="I33" s="51" t="n">
        <v>212</v>
      </c>
      <c r="J33" s="51" t="n">
        <v>240</v>
      </c>
    </row>
    <row r="34" ht="18" customHeight="1">
      <c r="A34" s="49" t="n">
        <v>16</v>
      </c>
      <c r="B34" s="49" t="n">
        <v>3400</v>
      </c>
      <c r="C34" s="49" t="n">
        <v>27000</v>
      </c>
      <c r="D34" s="49" t="n">
        <v>85</v>
      </c>
      <c r="E34" s="49" t="n">
        <v>35</v>
      </c>
      <c r="F34" s="49" t="n">
        <v>35</v>
      </c>
      <c r="G34" s="49" t="n">
        <v>220</v>
      </c>
      <c r="H34" s="49" t="n">
        <v>250</v>
      </c>
      <c r="I34" s="49" t="n">
        <v>220</v>
      </c>
      <c r="J34" s="49" t="n">
        <v>250</v>
      </c>
    </row>
    <row r="35" ht="18" customHeight="1">
      <c r="A35" s="48" t="n">
        <v>17</v>
      </c>
      <c r="B35" s="48" t="n">
        <v>3600</v>
      </c>
      <c r="C35" s="48" t="n">
        <v>30400</v>
      </c>
      <c r="D35" s="48" t="n">
        <v>90</v>
      </c>
      <c r="E35" s="48" t="n">
        <v>37</v>
      </c>
      <c r="F35" s="48" t="n">
        <v>37</v>
      </c>
      <c r="G35" s="48" t="n">
        <v>228</v>
      </c>
      <c r="H35" s="48" t="n">
        <v>260</v>
      </c>
      <c r="I35" s="48" t="n">
        <v>228</v>
      </c>
      <c r="J35" s="48" t="n">
        <v>260</v>
      </c>
    </row>
    <row r="36" ht="18" customHeight="1">
      <c r="A36" s="49" t="n">
        <v>18</v>
      </c>
      <c r="B36" s="49" t="n">
        <v>3800</v>
      </c>
      <c r="C36" s="49" t="n">
        <v>34000</v>
      </c>
      <c r="D36" s="49" t="n">
        <v>95</v>
      </c>
      <c r="E36" s="49" t="n">
        <v>39</v>
      </c>
      <c r="F36" s="49" t="n">
        <v>39</v>
      </c>
      <c r="G36" s="49" t="n">
        <v>236</v>
      </c>
      <c r="H36" s="49" t="n">
        <v>270</v>
      </c>
      <c r="I36" s="49" t="n">
        <v>236</v>
      </c>
      <c r="J36" s="49" t="n">
        <v>270</v>
      </c>
    </row>
    <row r="37" ht="18" customHeight="1">
      <c r="A37" s="48" t="n">
        <v>19</v>
      </c>
      <c r="B37" s="48" t="n">
        <v>4000</v>
      </c>
      <c r="C37" s="48" t="n">
        <v>37800</v>
      </c>
      <c r="D37" s="48" t="n">
        <v>100</v>
      </c>
      <c r="E37" s="48" t="n">
        <v>41</v>
      </c>
      <c r="F37" s="48" t="n">
        <v>41</v>
      </c>
      <c r="G37" s="48" t="n">
        <v>244</v>
      </c>
      <c r="H37" s="48" t="n">
        <v>280</v>
      </c>
      <c r="I37" s="48" t="n">
        <v>244</v>
      </c>
      <c r="J37" s="48" t="n">
        <v>280</v>
      </c>
    </row>
    <row r="38" ht="18" customHeight="1">
      <c r="A38" s="50" t="n">
        <v>20</v>
      </c>
      <c r="B38" s="51" t="n">
        <v>4200</v>
      </c>
      <c r="C38" s="51" t="n">
        <v>41800</v>
      </c>
      <c r="D38" s="51" t="n">
        <v>105</v>
      </c>
      <c r="E38" s="51" t="n">
        <v>43</v>
      </c>
      <c r="F38" s="51" t="n">
        <v>43</v>
      </c>
      <c r="G38" s="51" t="n">
        <v>252</v>
      </c>
      <c r="H38" s="51" t="n">
        <v>290</v>
      </c>
      <c r="I38" s="51" t="n">
        <v>252</v>
      </c>
      <c r="J38" s="51" t="n">
        <v>290</v>
      </c>
    </row>
    <row r="39" ht="18" customHeight="1">
      <c r="A39" s="48" t="n">
        <v>21</v>
      </c>
      <c r="B39" s="48" t="n">
        <v>4400</v>
      </c>
      <c r="C39" s="48" t="n">
        <v>46000</v>
      </c>
      <c r="D39" s="48" t="n">
        <v>110</v>
      </c>
      <c r="E39" s="48" t="n">
        <v>45</v>
      </c>
      <c r="F39" s="48" t="n">
        <v>45</v>
      </c>
      <c r="G39" s="48" t="n">
        <v>260</v>
      </c>
      <c r="H39" s="48" t="n">
        <v>300</v>
      </c>
      <c r="I39" s="48" t="n">
        <v>260</v>
      </c>
      <c r="J39" s="48" t="n">
        <v>300</v>
      </c>
    </row>
    <row r="40" ht="18" customHeight="1">
      <c r="A40" s="49" t="n">
        <v>22</v>
      </c>
      <c r="B40" s="49" t="n">
        <v>4600</v>
      </c>
      <c r="C40" s="49" t="n">
        <v>50400</v>
      </c>
      <c r="D40" s="49" t="n">
        <v>115</v>
      </c>
      <c r="E40" s="49" t="n">
        <v>47</v>
      </c>
      <c r="F40" s="49" t="n">
        <v>47</v>
      </c>
      <c r="G40" s="49" t="n">
        <v>268</v>
      </c>
      <c r="H40" s="49" t="n">
        <v>310</v>
      </c>
      <c r="I40" s="49" t="n">
        <v>268</v>
      </c>
      <c r="J40" s="49" t="n">
        <v>310</v>
      </c>
    </row>
    <row r="41" ht="18" customHeight="1">
      <c r="A41" s="48" t="n">
        <v>23</v>
      </c>
      <c r="B41" s="48" t="n">
        <v>4800</v>
      </c>
      <c r="C41" s="48" t="n">
        <v>55000</v>
      </c>
      <c r="D41" s="48" t="n">
        <v>120</v>
      </c>
      <c r="E41" s="48" t="n">
        <v>49</v>
      </c>
      <c r="F41" s="48" t="n">
        <v>49</v>
      </c>
      <c r="G41" s="48" t="n">
        <v>276</v>
      </c>
      <c r="H41" s="48" t="n">
        <v>320</v>
      </c>
      <c r="I41" s="48" t="n">
        <v>276</v>
      </c>
      <c r="J41" s="48" t="n">
        <v>320</v>
      </c>
    </row>
    <row r="42" ht="18" customHeight="1">
      <c r="A42" s="49" t="n">
        <v>24</v>
      </c>
      <c r="B42" s="49" t="n">
        <v>5000</v>
      </c>
      <c r="C42" s="49" t="n">
        <v>59800</v>
      </c>
      <c r="D42" s="49" t="n">
        <v>125</v>
      </c>
      <c r="E42" s="49" t="n">
        <v>51</v>
      </c>
      <c r="F42" s="49" t="n">
        <v>51</v>
      </c>
      <c r="G42" s="49" t="n">
        <v>284</v>
      </c>
      <c r="H42" s="49" t="n">
        <v>330</v>
      </c>
      <c r="I42" s="49" t="n">
        <v>284</v>
      </c>
      <c r="J42" s="49" t="n">
        <v>330</v>
      </c>
    </row>
    <row r="43" ht="18" customHeight="1">
      <c r="A43" s="50" t="n">
        <v>25</v>
      </c>
      <c r="B43" s="51" t="n">
        <v>5200</v>
      </c>
      <c r="C43" s="51" t="n">
        <v>64800</v>
      </c>
      <c r="D43" s="51" t="n">
        <v>130</v>
      </c>
      <c r="E43" s="51" t="n">
        <v>53</v>
      </c>
      <c r="F43" s="51" t="n">
        <v>53</v>
      </c>
      <c r="G43" s="51" t="n">
        <v>292</v>
      </c>
      <c r="H43" s="51" t="n">
        <v>340</v>
      </c>
      <c r="I43" s="51" t="n">
        <v>292</v>
      </c>
      <c r="J43" s="51" t="n">
        <v>340</v>
      </c>
    </row>
    <row r="44" ht="18" customHeight="1">
      <c r="A44" s="49" t="n">
        <v>26</v>
      </c>
      <c r="B44" s="49" t="n">
        <v>5400</v>
      </c>
      <c r="C44" s="49" t="n">
        <v>70000</v>
      </c>
      <c r="D44" s="49" t="n">
        <v>135</v>
      </c>
      <c r="E44" s="49" t="n">
        <v>55</v>
      </c>
      <c r="F44" s="49" t="n">
        <v>55</v>
      </c>
      <c r="G44" s="49" t="n">
        <v>300</v>
      </c>
      <c r="H44" s="49" t="n">
        <v>350</v>
      </c>
      <c r="I44" s="49" t="n">
        <v>300</v>
      </c>
      <c r="J44" s="49" t="n">
        <v>350</v>
      </c>
    </row>
    <row r="45" ht="18" customHeight="1">
      <c r="A45" s="48" t="n">
        <v>27</v>
      </c>
      <c r="B45" s="48" t="n">
        <v>5600</v>
      </c>
      <c r="C45" s="48" t="n">
        <v>75400</v>
      </c>
      <c r="D45" s="48" t="n">
        <v>140</v>
      </c>
      <c r="E45" s="48" t="n">
        <v>57</v>
      </c>
      <c r="F45" s="48" t="n">
        <v>57</v>
      </c>
      <c r="G45" s="48" t="n">
        <v>308</v>
      </c>
      <c r="H45" s="48" t="n">
        <v>360</v>
      </c>
      <c r="I45" s="48" t="n">
        <v>308</v>
      </c>
      <c r="J45" s="48" t="n">
        <v>360</v>
      </c>
    </row>
    <row r="46" ht="18" customHeight="1">
      <c r="A46" s="49" t="n">
        <v>28</v>
      </c>
      <c r="B46" s="49" t="n">
        <v>5800</v>
      </c>
      <c r="C46" s="49" t="n">
        <v>81000</v>
      </c>
      <c r="D46" s="49" t="n">
        <v>145</v>
      </c>
      <c r="E46" s="49" t="n">
        <v>59</v>
      </c>
      <c r="F46" s="49" t="n">
        <v>59</v>
      </c>
      <c r="G46" s="49" t="n">
        <v>316</v>
      </c>
      <c r="H46" s="49" t="n">
        <v>370</v>
      </c>
      <c r="I46" s="49" t="n">
        <v>316</v>
      </c>
      <c r="J46" s="49" t="n">
        <v>370</v>
      </c>
    </row>
    <row r="47" ht="18" customHeight="1">
      <c r="A47" s="48" t="n">
        <v>29</v>
      </c>
      <c r="B47" s="48" t="n">
        <v>6000</v>
      </c>
      <c r="C47" s="48" t="n">
        <v>86800</v>
      </c>
      <c r="D47" s="48" t="n">
        <v>150</v>
      </c>
      <c r="E47" s="48" t="n">
        <v>61</v>
      </c>
      <c r="F47" s="48" t="n">
        <v>61</v>
      </c>
      <c r="G47" s="48" t="n">
        <v>324</v>
      </c>
      <c r="H47" s="48" t="n">
        <v>380</v>
      </c>
      <c r="I47" s="48" t="n">
        <v>324</v>
      </c>
      <c r="J47" s="48" t="n">
        <v>380</v>
      </c>
    </row>
    <row r="48" ht="18" customHeight="1">
      <c r="A48" s="50" t="n">
        <v>30</v>
      </c>
      <c r="B48" s="51" t="n">
        <v>6200</v>
      </c>
      <c r="C48" s="51" t="n">
        <v>92800</v>
      </c>
      <c r="D48" s="51" t="n">
        <v>155</v>
      </c>
      <c r="E48" s="51" t="n">
        <v>63</v>
      </c>
      <c r="F48" s="51" t="n">
        <v>63</v>
      </c>
      <c r="G48" s="51" t="n">
        <v>332</v>
      </c>
      <c r="H48" s="51" t="n">
        <v>390</v>
      </c>
      <c r="I48" s="51" t="n">
        <v>332</v>
      </c>
      <c r="J48" s="51" t="n">
        <v>390</v>
      </c>
    </row>
    <row r="49" ht="18" customHeight="1">
      <c r="A49" s="48" t="n">
        <v>31</v>
      </c>
      <c r="B49" s="48" t="n">
        <v>6400</v>
      </c>
      <c r="C49" s="48" t="n">
        <v>99000</v>
      </c>
      <c r="D49" s="48" t="n">
        <v>160</v>
      </c>
      <c r="E49" s="48" t="n">
        <v>65</v>
      </c>
      <c r="F49" s="48" t="n">
        <v>65</v>
      </c>
      <c r="G49" s="48" t="n">
        <v>340</v>
      </c>
      <c r="H49" s="48" t="n">
        <v>400</v>
      </c>
      <c r="I49" s="48" t="n">
        <v>340</v>
      </c>
      <c r="J49" s="48" t="n">
        <v>400</v>
      </c>
    </row>
    <row r="50" ht="18" customHeight="1">
      <c r="A50" s="49" t="n">
        <v>32</v>
      </c>
      <c r="B50" s="49" t="n">
        <v>6600</v>
      </c>
      <c r="C50" s="49" t="n">
        <v>105400</v>
      </c>
      <c r="D50" s="49" t="n">
        <v>165</v>
      </c>
      <c r="E50" s="49" t="n">
        <v>67</v>
      </c>
      <c r="F50" s="49" t="n">
        <v>67</v>
      </c>
      <c r="G50" s="49" t="n">
        <v>348</v>
      </c>
      <c r="H50" s="49" t="n">
        <v>410</v>
      </c>
      <c r="I50" s="49" t="n">
        <v>348</v>
      </c>
      <c r="J50" s="49" t="n">
        <v>410</v>
      </c>
    </row>
    <row r="51" ht="18" customHeight="1">
      <c r="A51" s="48" t="n">
        <v>33</v>
      </c>
      <c r="B51" s="48" t="n">
        <v>6800</v>
      </c>
      <c r="C51" s="48" t="n">
        <v>112000</v>
      </c>
      <c r="D51" s="48" t="n">
        <v>170</v>
      </c>
      <c r="E51" s="48" t="n">
        <v>69</v>
      </c>
      <c r="F51" s="48" t="n">
        <v>69</v>
      </c>
      <c r="G51" s="48" t="n">
        <v>356</v>
      </c>
      <c r="H51" s="48" t="n">
        <v>420</v>
      </c>
      <c r="I51" s="48" t="n">
        <v>356</v>
      </c>
      <c r="J51" s="48" t="n">
        <v>420</v>
      </c>
    </row>
    <row r="52" ht="18" customHeight="1">
      <c r="A52" s="49" t="n">
        <v>34</v>
      </c>
      <c r="B52" s="49" t="n">
        <v>7000</v>
      </c>
      <c r="C52" s="49" t="n">
        <v>118800</v>
      </c>
      <c r="D52" s="49" t="n">
        <v>175</v>
      </c>
      <c r="E52" s="49" t="n">
        <v>71</v>
      </c>
      <c r="F52" s="49" t="n">
        <v>71</v>
      </c>
      <c r="G52" s="49" t="n">
        <v>364</v>
      </c>
      <c r="H52" s="49" t="n">
        <v>430</v>
      </c>
      <c r="I52" s="49" t="n">
        <v>364</v>
      </c>
      <c r="J52" s="49" t="n">
        <v>430</v>
      </c>
    </row>
    <row r="53" ht="18" customHeight="1">
      <c r="A53" s="50" t="n">
        <v>35</v>
      </c>
      <c r="B53" s="51" t="n">
        <v>7200</v>
      </c>
      <c r="C53" s="51" t="n">
        <v>125800</v>
      </c>
      <c r="D53" s="51" t="n">
        <v>180</v>
      </c>
      <c r="E53" s="51" t="n">
        <v>73</v>
      </c>
      <c r="F53" s="51" t="n">
        <v>73</v>
      </c>
      <c r="G53" s="51" t="n">
        <v>372</v>
      </c>
      <c r="H53" s="51" t="n">
        <v>440</v>
      </c>
      <c r="I53" s="51" t="n">
        <v>372</v>
      </c>
      <c r="J53" s="51" t="n">
        <v>440</v>
      </c>
    </row>
    <row r="54" ht="18" customHeight="1">
      <c r="A54" s="49" t="n">
        <v>36</v>
      </c>
      <c r="B54" s="49" t="n">
        <v>7400</v>
      </c>
      <c r="C54" s="49" t="n">
        <v>133000</v>
      </c>
      <c r="D54" s="49" t="n">
        <v>185</v>
      </c>
      <c r="E54" s="49" t="n">
        <v>75</v>
      </c>
      <c r="F54" s="49" t="n">
        <v>75</v>
      </c>
      <c r="G54" s="49" t="n">
        <v>380</v>
      </c>
      <c r="H54" s="49" t="n">
        <v>450</v>
      </c>
      <c r="I54" s="49" t="n">
        <v>380</v>
      </c>
      <c r="J54" s="49" t="n">
        <v>450</v>
      </c>
    </row>
    <row r="55" ht="18" customHeight="1">
      <c r="A55" s="48" t="n">
        <v>37</v>
      </c>
      <c r="B55" s="48" t="n">
        <v>7600</v>
      </c>
      <c r="C55" s="48" t="n">
        <v>140400</v>
      </c>
      <c r="D55" s="48" t="n">
        <v>190</v>
      </c>
      <c r="E55" s="48" t="n">
        <v>77</v>
      </c>
      <c r="F55" s="48" t="n">
        <v>77</v>
      </c>
      <c r="G55" s="48" t="n">
        <v>388</v>
      </c>
      <c r="H55" s="48" t="n">
        <v>460</v>
      </c>
      <c r="I55" s="48" t="n">
        <v>388</v>
      </c>
      <c r="J55" s="48" t="n">
        <v>460</v>
      </c>
    </row>
    <row r="56" ht="18" customHeight="1">
      <c r="A56" s="49" t="n">
        <v>38</v>
      </c>
      <c r="B56" s="49" t="n">
        <v>7800</v>
      </c>
      <c r="C56" s="49" t="n">
        <v>148000</v>
      </c>
      <c r="D56" s="49" t="n">
        <v>195</v>
      </c>
      <c r="E56" s="49" t="n">
        <v>79</v>
      </c>
      <c r="F56" s="49" t="n">
        <v>79</v>
      </c>
      <c r="G56" s="49" t="n">
        <v>396</v>
      </c>
      <c r="H56" s="49" t="n">
        <v>470</v>
      </c>
      <c r="I56" s="49" t="n">
        <v>396</v>
      </c>
      <c r="J56" s="49" t="n">
        <v>470</v>
      </c>
    </row>
    <row r="57" ht="18" customHeight="1">
      <c r="A57" s="48" t="n">
        <v>39</v>
      </c>
      <c r="B57" s="48" t="n">
        <v>8000</v>
      </c>
      <c r="C57" s="48" t="n">
        <v>155800</v>
      </c>
      <c r="D57" s="48" t="n">
        <v>200</v>
      </c>
      <c r="E57" s="48" t="n">
        <v>81</v>
      </c>
      <c r="F57" s="48" t="n">
        <v>81</v>
      </c>
      <c r="G57" s="48" t="n">
        <v>404</v>
      </c>
      <c r="H57" s="48" t="n">
        <v>480</v>
      </c>
      <c r="I57" s="48" t="n">
        <v>404</v>
      </c>
      <c r="J57" s="48" t="n">
        <v>480</v>
      </c>
    </row>
    <row r="58" ht="18" customHeight="1">
      <c r="A58" s="50" t="n">
        <v>40</v>
      </c>
      <c r="B58" s="51" t="n">
        <v>8200</v>
      </c>
      <c r="C58" s="51" t="n">
        <v>163800</v>
      </c>
      <c r="D58" s="51" t="n">
        <v>205</v>
      </c>
      <c r="E58" s="51" t="n">
        <v>83</v>
      </c>
      <c r="F58" s="51" t="n">
        <v>83</v>
      </c>
      <c r="G58" s="51" t="n">
        <v>412</v>
      </c>
      <c r="H58" s="51" t="n">
        <v>490</v>
      </c>
      <c r="I58" s="51" t="n">
        <v>412</v>
      </c>
      <c r="J58" s="51" t="n">
        <v>490</v>
      </c>
    </row>
    <row r="59" ht="18" customHeight="1">
      <c r="A59" s="48" t="n">
        <v>41</v>
      </c>
      <c r="B59" s="48" t="n">
        <v>8400</v>
      </c>
      <c r="C59" s="48" t="n">
        <v>172000</v>
      </c>
      <c r="D59" s="48" t="n">
        <v>210</v>
      </c>
      <c r="E59" s="48" t="n">
        <v>85</v>
      </c>
      <c r="F59" s="48" t="n">
        <v>85</v>
      </c>
      <c r="G59" s="48" t="n">
        <v>420</v>
      </c>
      <c r="H59" s="48" t="n">
        <v>500</v>
      </c>
      <c r="I59" s="48" t="n">
        <v>420</v>
      </c>
      <c r="J59" s="48" t="n">
        <v>500</v>
      </c>
    </row>
    <row r="60" ht="18" customHeight="1">
      <c r="A60" s="49" t="n">
        <v>42</v>
      </c>
      <c r="B60" s="49" t="n">
        <v>8600</v>
      </c>
      <c r="C60" s="49" t="n">
        <v>180400</v>
      </c>
      <c r="D60" s="49" t="n">
        <v>215</v>
      </c>
      <c r="E60" s="49" t="n">
        <v>87</v>
      </c>
      <c r="F60" s="49" t="n">
        <v>87</v>
      </c>
      <c r="G60" s="49" t="n">
        <v>428</v>
      </c>
      <c r="H60" s="49" t="n">
        <v>510</v>
      </c>
      <c r="I60" s="49" t="n">
        <v>428</v>
      </c>
      <c r="J60" s="49" t="n">
        <v>510</v>
      </c>
    </row>
    <row r="61" ht="18" customHeight="1">
      <c r="A61" s="48" t="n">
        <v>43</v>
      </c>
      <c r="B61" s="48" t="n">
        <v>8800</v>
      </c>
      <c r="C61" s="48" t="n">
        <v>189000</v>
      </c>
      <c r="D61" s="48" t="n">
        <v>220</v>
      </c>
      <c r="E61" s="48" t="n">
        <v>89</v>
      </c>
      <c r="F61" s="48" t="n">
        <v>89</v>
      </c>
      <c r="G61" s="48" t="n">
        <v>436</v>
      </c>
      <c r="H61" s="48" t="n">
        <v>520</v>
      </c>
      <c r="I61" s="48" t="n">
        <v>436</v>
      </c>
      <c r="J61" s="48" t="n">
        <v>520</v>
      </c>
    </row>
    <row r="62" ht="18" customHeight="1">
      <c r="A62" s="49" t="n">
        <v>44</v>
      </c>
      <c r="B62" s="49" t="n">
        <v>9000</v>
      </c>
      <c r="C62" s="49" t="n">
        <v>197800</v>
      </c>
      <c r="D62" s="49" t="n">
        <v>225</v>
      </c>
      <c r="E62" s="49" t="n">
        <v>91</v>
      </c>
      <c r="F62" s="49" t="n">
        <v>91</v>
      </c>
      <c r="G62" s="49" t="n">
        <v>444</v>
      </c>
      <c r="H62" s="49" t="n">
        <v>530</v>
      </c>
      <c r="I62" s="49" t="n">
        <v>444</v>
      </c>
      <c r="J62" s="49" t="n">
        <v>530</v>
      </c>
    </row>
    <row r="63" ht="18" customHeight="1">
      <c r="A63" s="50" t="n">
        <v>45</v>
      </c>
      <c r="B63" s="51" t="n">
        <v>9200</v>
      </c>
      <c r="C63" s="51" t="n">
        <v>206800</v>
      </c>
      <c r="D63" s="51" t="n">
        <v>230</v>
      </c>
      <c r="E63" s="51" t="n">
        <v>93</v>
      </c>
      <c r="F63" s="51" t="n">
        <v>93</v>
      </c>
      <c r="G63" s="51" t="n">
        <v>452</v>
      </c>
      <c r="H63" s="51" t="n">
        <v>540</v>
      </c>
      <c r="I63" s="51" t="n">
        <v>452</v>
      </c>
      <c r="J63" s="51" t="n">
        <v>540</v>
      </c>
    </row>
    <row r="64" ht="18" customHeight="1">
      <c r="A64" s="49" t="n">
        <v>46</v>
      </c>
      <c r="B64" s="49" t="n">
        <v>9400</v>
      </c>
      <c r="C64" s="49" t="n">
        <v>216000</v>
      </c>
      <c r="D64" s="49" t="n">
        <v>235</v>
      </c>
      <c r="E64" s="49" t="n">
        <v>95</v>
      </c>
      <c r="F64" s="49" t="n">
        <v>95</v>
      </c>
      <c r="G64" s="49" t="n">
        <v>460</v>
      </c>
      <c r="H64" s="49" t="n">
        <v>550</v>
      </c>
      <c r="I64" s="49" t="n">
        <v>460</v>
      </c>
      <c r="J64" s="49" t="n">
        <v>550</v>
      </c>
    </row>
    <row r="65" ht="18" customHeight="1">
      <c r="A65" s="48" t="n">
        <v>47</v>
      </c>
      <c r="B65" s="48" t="n">
        <v>9600</v>
      </c>
      <c r="C65" s="48" t="n">
        <v>225400</v>
      </c>
      <c r="D65" s="48" t="n">
        <v>240</v>
      </c>
      <c r="E65" s="48" t="n">
        <v>97</v>
      </c>
      <c r="F65" s="48" t="n">
        <v>97</v>
      </c>
      <c r="G65" s="48" t="n">
        <v>468</v>
      </c>
      <c r="H65" s="48" t="n">
        <v>560</v>
      </c>
      <c r="I65" s="48" t="n">
        <v>468</v>
      </c>
      <c r="J65" s="48" t="n">
        <v>560</v>
      </c>
    </row>
    <row r="66" ht="18" customHeight="1">
      <c r="A66" s="49" t="n">
        <v>48</v>
      </c>
      <c r="B66" s="49" t="n">
        <v>9800</v>
      </c>
      <c r="C66" s="49" t="n">
        <v>235000</v>
      </c>
      <c r="D66" s="49" t="n">
        <v>245</v>
      </c>
      <c r="E66" s="49" t="n">
        <v>99</v>
      </c>
      <c r="F66" s="49" t="n">
        <v>99</v>
      </c>
      <c r="G66" s="49" t="n">
        <v>476</v>
      </c>
      <c r="H66" s="49" t="n">
        <v>570</v>
      </c>
      <c r="I66" s="49" t="n">
        <v>476</v>
      </c>
      <c r="J66" s="49" t="n">
        <v>570</v>
      </c>
    </row>
    <row r="67" ht="18" customHeight="1">
      <c r="A67" s="48" t="n">
        <v>49</v>
      </c>
      <c r="B67" s="48" t="n">
        <v>10000</v>
      </c>
      <c r="C67" s="48" t="n">
        <v>244800</v>
      </c>
      <c r="D67" s="48" t="n">
        <v>250</v>
      </c>
      <c r="E67" s="48" t="n">
        <v>101</v>
      </c>
      <c r="F67" s="48" t="n">
        <v>101</v>
      </c>
      <c r="G67" s="48" t="n">
        <v>484</v>
      </c>
      <c r="H67" s="48" t="n">
        <v>580</v>
      </c>
      <c r="I67" s="48" t="n">
        <v>484</v>
      </c>
      <c r="J67" s="48" t="n">
        <v>580</v>
      </c>
    </row>
    <row r="68" ht="18" customHeight="1">
      <c r="A68" s="50" t="n">
        <v>50</v>
      </c>
      <c r="B68" s="51" t="n">
        <v>10200</v>
      </c>
      <c r="C68" s="51" t="n">
        <v>254800</v>
      </c>
      <c r="D68" s="51" t="n">
        <v>255</v>
      </c>
      <c r="E68" s="51" t="n">
        <v>103</v>
      </c>
      <c r="F68" s="51" t="n">
        <v>103</v>
      </c>
      <c r="G68" s="51" t="n">
        <v>492</v>
      </c>
      <c r="H68" s="51" t="n">
        <v>590</v>
      </c>
      <c r="I68" s="51" t="n">
        <v>492</v>
      </c>
      <c r="J68" s="51" t="n">
        <v>590</v>
      </c>
    </row>
  </sheetData>
  <mergeCells count="5">
    <mergeCell ref="A1:J1"/>
    <mergeCell ref="A4:E4"/>
    <mergeCell ref="A17:J17"/>
    <mergeCell ref="A2:J2"/>
    <mergeCell ref="A9:E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59E0B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40" customWidth="1" min="4" max="4"/>
  </cols>
  <sheetData>
    <row r="1" ht="36" customHeight="1">
      <c r="A1" s="36" t="inlineStr">
        <is>
          <t>🏆  SYSTÈME DE RECORDS — Configuration des récompenses</t>
        </is>
      </c>
      <c r="B1" s="63" t="n"/>
      <c r="C1" s="63" t="n"/>
      <c r="D1" s="63" t="n"/>
      <c r="E1" s="63" t="n"/>
      <c r="F1" s="63" t="n"/>
      <c r="G1" s="64" t="n"/>
    </row>
    <row r="2" ht="20" customHeight="1">
      <c r="A2" s="52" t="inlineStr">
        <is>
          <t>Un record = dépasser son meilleur score personnel sur un exercice. Les cellules JAUNES sont modifiables.</t>
        </is>
      </c>
      <c r="B2" s="63" t="n"/>
      <c r="C2" s="63" t="n"/>
      <c r="D2" s="63" t="n"/>
      <c r="E2" s="63" t="n"/>
      <c r="F2" s="63" t="n"/>
      <c r="G2" s="64" t="n"/>
    </row>
    <row r="4" ht="26" customHeight="1">
      <c r="A4" s="53" t="inlineStr">
        <is>
          <t>📏  CONDITIONS POUR BATTRE UN RECORD</t>
        </is>
      </c>
      <c r="B4" s="63" t="n"/>
      <c r="C4" s="63" t="n"/>
      <c r="D4" s="63" t="n"/>
      <c r="E4" s="64" t="n"/>
    </row>
    <row r="5" ht="22" customHeight="1">
      <c r="A5" s="3" t="inlineStr">
        <is>
          <t>Type d'exercice</t>
        </is>
      </c>
      <c r="B5" s="3" t="inlineStr">
        <is>
          <t>Condition 1</t>
        </is>
      </c>
      <c r="C5" s="3" t="inlineStr">
        <is>
          <t>Condition 2</t>
        </is>
      </c>
      <c r="D5" s="3" t="inlineStr">
        <is>
          <t>Notes</t>
        </is>
      </c>
    </row>
    <row r="6" ht="30" customHeight="1">
      <c r="A6" s="54" t="inlineStr">
        <is>
          <t>Avec poids (hasWeight = true)</t>
        </is>
      </c>
      <c r="B6" s="54" t="inlineStr">
        <is>
          <t>Nouveau record kg (poids &gt; meilleur kg)</t>
        </is>
      </c>
      <c r="C6" s="54" t="inlineStr">
        <is>
          <t>OU nouveau record volume (séries × reps &gt; meilleur volume)</t>
        </is>
      </c>
      <c r="D6" s="42" t="inlineStr">
        <is>
          <t>Les deux conditions sont indépendantes — l'une OU l'autre suffit</t>
        </is>
      </c>
    </row>
    <row r="7" ht="30" customHeight="1">
      <c r="A7" s="55" t="inlineStr">
        <is>
          <t>Sans poids (hasWeight = false)</t>
        </is>
      </c>
      <c r="B7" s="55" t="inlineStr">
        <is>
          <t>Nouveau record volume (séries × reps &gt; meilleur volume)</t>
        </is>
      </c>
      <c r="C7" s="55" t="inlineStr">
        <is>
          <t>—</t>
        </is>
      </c>
      <c r="D7" s="45" t="inlineStr">
        <is>
          <t>Volume = séries × répétitions, ou séries × secondes</t>
        </is>
      </c>
    </row>
    <row r="9" ht="26" customHeight="1">
      <c r="A9" s="46" t="inlineStr">
        <is>
          <t>🎁  RÉCOMPENSES ACCORDÉES À CHAQUE RECORD BATTU</t>
        </is>
      </c>
      <c r="B9" s="63" t="n"/>
      <c r="C9" s="63" t="n"/>
      <c r="D9" s="63" t="n"/>
      <c r="E9" s="64" t="n"/>
    </row>
    <row r="10" ht="22" customHeight="1">
      <c r="A10" s="3" t="inlineStr">
        <is>
          <t>Récompense</t>
        </is>
      </c>
      <c r="B10" s="3" t="inlineStr">
        <is>
          <t>Valeur actuelle
(modifiable)</t>
        </is>
      </c>
      <c r="C10" s="3" t="inlineStr">
        <is>
          <t>Détail technique</t>
        </is>
      </c>
      <c r="D10" s="3" t="inlineStr">
        <is>
          <t>Effet en jeu</t>
        </is>
      </c>
    </row>
    <row r="11" ht="30" customHeight="1">
      <c r="A11" s="43" t="inlineStr">
        <is>
          <t>+1 stat permanente (selon type)</t>
        </is>
      </c>
      <c r="B11" s="41" t="n">
        <v>1</v>
      </c>
      <c r="C11" s="44" t="inlineStr">
        <is>
          <t>state.player.stats[statKey] += RECORD_STAT_GAIN</t>
        </is>
      </c>
      <c r="D11" s="45" t="inlineStr">
        <is>
          <t>Augmente définitivement Force / Défense / Vitesse du joueur</t>
        </is>
      </c>
    </row>
    <row r="12" ht="30" customHeight="1">
      <c r="A12" s="39" t="inlineStr">
        <is>
          <t>+1 bonus dégâts sur cet exercice</t>
        </is>
      </c>
      <c r="B12" s="41" t="n">
        <v>1</v>
      </c>
      <c r="C12" s="40" t="inlineStr">
        <is>
          <t>records_bonus[exerciseId] += RECORD_DMG_GAIN</t>
        </is>
      </c>
      <c r="D12" s="42" t="inlineStr">
        <is>
          <t>Cet exercice fait +N dégâts en combat pour toujours (cumulatif)</t>
        </is>
      </c>
    </row>
    <row r="14" ht="26" customHeight="1">
      <c r="A14" s="56" t="inlineStr">
        <is>
          <t>🔗  CORRESPONDANCE TYPE D'EXERCICE → STAT GAGNÉE</t>
        </is>
      </c>
      <c r="B14" s="63" t="n"/>
      <c r="C14" s="63" t="n"/>
      <c r="D14" s="63" t="n"/>
      <c r="E14" s="64" t="n"/>
    </row>
    <row r="15" ht="22" customHeight="1">
      <c r="A15" s="3" t="inlineStr">
        <is>
          <t>Type d'exercice</t>
        </is>
      </c>
      <c r="B15" s="3" t="inlineStr">
        <is>
          <t>Stat accordée
(record battu)</t>
        </is>
      </c>
      <c r="C15" s="3" t="inlineStr">
        <is>
          <t>Constante JS</t>
        </is>
      </c>
      <c r="D15" s="3" t="inlineStr">
        <is>
          <t>Exemples d'exercices</t>
        </is>
      </c>
    </row>
    <row r="16" ht="24" customHeight="1">
      <c r="A16" s="39" t="inlineStr">
        <is>
          <t>force</t>
        </is>
      </c>
      <c r="B16" s="57" t="inlineStr">
        <is>
          <t>Force (+1)</t>
        </is>
      </c>
      <c r="C16" s="40" t="inlineStr">
        <is>
          <t>statMap.force → 'force'</t>
        </is>
      </c>
      <c r="D16" s="58" t="inlineStr">
        <is>
          <t>Pompes, Squats, Développé épaules</t>
        </is>
      </c>
    </row>
    <row r="17" ht="24" customHeight="1">
      <c r="A17" s="43" t="inlineStr">
        <is>
          <t>endurance</t>
        </is>
      </c>
      <c r="B17" s="59" t="inlineStr">
        <is>
          <t>Défense (+1)</t>
        </is>
      </c>
      <c r="C17" s="44" t="inlineStr">
        <is>
          <t>statMap.endurance → 'defense'</t>
        </is>
      </c>
      <c r="D17" s="60" t="inlineStr">
        <is>
          <t>Tractions, Planche, Curl biceps</t>
        </is>
      </c>
    </row>
    <row r="18" ht="24" customHeight="1">
      <c r="A18" s="39" t="inlineStr">
        <is>
          <t>agility</t>
        </is>
      </c>
      <c r="B18" s="57" t="inlineStr">
        <is>
          <t>Vitesse (+1)</t>
        </is>
      </c>
      <c r="C18" s="40" t="inlineStr">
        <is>
          <t>statMap.agility → 'agility'</t>
        </is>
      </c>
      <c r="D18" s="58" t="inlineStr">
        <is>
          <t>Fentes, Burpees, Mountain climbers</t>
        </is>
      </c>
    </row>
    <row r="20" ht="26" customHeight="1">
      <c r="A20" s="61" t="inlineStr">
        <is>
          <t>💡  NOTE D'ÉQUILIBRAGE</t>
        </is>
      </c>
      <c r="B20" s="63" t="n"/>
      <c r="C20" s="63" t="n"/>
      <c r="D20" s="63" t="n"/>
      <c r="E20" s="64" t="n"/>
    </row>
    <row r="21" ht="20" customHeight="1">
      <c r="A21" s="62" t="inlineStr">
        <is>
          <t>Le bonus de dégâts record (records_bonus) s'accumule indéfiniment — un joueur assidu qui bat 20× son record sur les pompes aura +20 dégâts permanents sur cet exercice. C'est un système de récompense de la progression réelle. Si tu veux limiter l'avantage, tu peux envisager un plafond (ex : max +10 par exercice).</t>
        </is>
      </c>
    </row>
    <row r="22" ht="20" customHeight="1"/>
    <row r="23" ht="20" customHeight="1"/>
  </sheetData>
  <mergeCells count="7">
    <mergeCell ref="A4:E4"/>
    <mergeCell ref="A1:G1"/>
    <mergeCell ref="A20:E20"/>
    <mergeCell ref="A21:E23"/>
    <mergeCell ref="A2:G2"/>
    <mergeCell ref="A14:E14"/>
    <mergeCell ref="A9:E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F172A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9" t="inlineStr">
        <is>
          <t>RARETES</t>
        </is>
      </c>
      <c r="B1" s="19" t="inlineStr">
        <is>
          <t>ELEMENTS</t>
        </is>
      </c>
      <c r="C1" s="19" t="inlineStr">
        <is>
          <t>TYPES</t>
        </is>
      </c>
      <c r="D1" s="19" t="inlineStr">
        <is>
          <t>SLOTS</t>
        </is>
      </c>
      <c r="E1" s="19" t="inlineStr">
        <is>
          <t>EFFECTS</t>
        </is>
      </c>
      <c r="F1" s="19" t="inlineStr">
        <is>
          <t>REGIONS</t>
        </is>
      </c>
      <c r="G1" s="19" t="inlineStr">
        <is>
          <t>BOOL</t>
        </is>
      </c>
      <c r="H1" s="19" t="inlineStr">
        <is>
          <t>DROP_TYPE</t>
        </is>
      </c>
    </row>
    <row r="2">
      <c r="A2" s="20" t="inlineStr">
        <is>
          <t>common</t>
        </is>
      </c>
      <c r="B2" s="20" t="inlineStr">
        <is>
          <t>fire</t>
        </is>
      </c>
      <c r="C2" s="20" t="inlineStr">
        <is>
          <t>force</t>
        </is>
      </c>
      <c r="D2" s="20" t="inlineStr">
        <is>
          <t>weapon_main</t>
        </is>
      </c>
      <c r="E2" s="20" t="inlineStr">
        <is>
          <t>damage_flat</t>
        </is>
      </c>
      <c r="F2" s="20" t="inlineStr">
        <is>
          <t>foret</t>
        </is>
      </c>
      <c r="G2" s="20" t="inlineStr">
        <is>
          <t>TRUE</t>
        </is>
      </c>
      <c r="H2" s="20" t="inlineStr">
        <is>
          <t>material</t>
        </is>
      </c>
    </row>
    <row r="3">
      <c r="A3" s="21" t="inlineStr">
        <is>
          <t>rare</t>
        </is>
      </c>
      <c r="B3" s="21" t="inlineStr">
        <is>
          <t>wind</t>
        </is>
      </c>
      <c r="C3" s="21" t="inlineStr">
        <is>
          <t>agility</t>
        </is>
      </c>
      <c r="D3" s="21" t="inlineStr">
        <is>
          <t>weapon_secondary</t>
        </is>
      </c>
      <c r="E3" s="21" t="inlineStr">
        <is>
          <t>heal_flat</t>
        </is>
      </c>
      <c r="F3" s="21" t="inlineStr">
        <is>
          <t>marais</t>
        </is>
      </c>
      <c r="G3" s="21" t="inlineStr">
        <is>
          <t>FALSE</t>
        </is>
      </c>
      <c r="H3" s="21" t="inlineStr">
        <is>
          <t>ingredient</t>
        </is>
      </c>
    </row>
    <row r="4">
      <c r="A4" s="20" t="inlineStr">
        <is>
          <t>epic</t>
        </is>
      </c>
      <c r="B4" s="20" t="inlineStr">
        <is>
          <t>water</t>
        </is>
      </c>
      <c r="C4" s="20" t="inlineStr">
        <is>
          <t>endurance</t>
        </is>
      </c>
      <c r="D4" s="20" t="inlineStr">
        <is>
          <t>armor</t>
        </is>
      </c>
      <c r="E4" s="20" t="inlineStr">
        <is>
          <t>damage_percent</t>
        </is>
      </c>
      <c r="F4" s="20" t="inlineStr">
        <is>
          <t>caverne</t>
        </is>
      </c>
    </row>
    <row r="5">
      <c r="A5" s="21" t="inlineStr">
        <is>
          <t>legendary</t>
        </is>
      </c>
      <c r="B5" s="21" t="inlineStr">
        <is>
          <t>dark</t>
        </is>
      </c>
      <c r="D5" s="21" t="inlineStr">
        <is>
          <t>helmet</t>
        </is>
      </c>
      <c r="E5" s="21" t="inlineStr">
        <is>
          <t>shield</t>
        </is>
      </c>
    </row>
    <row r="6">
      <c r="B6" s="20" t="inlineStr">
        <is>
          <t>holy</t>
        </is>
      </c>
      <c r="D6" s="20" t="inlineStr">
        <is>
          <t>legs</t>
        </is>
      </c>
      <c r="E6" s="20" t="inlineStr">
        <is>
          <t>buff_force</t>
        </is>
      </c>
    </row>
    <row r="7">
      <c r="B7" s="21" t="inlineStr">
        <is>
          <t>earth</t>
        </is>
      </c>
      <c r="D7" s="21" t="inlineStr">
        <is>
          <t>cape</t>
        </is>
      </c>
      <c r="E7" s="21" t="inlineStr">
        <is>
          <t>buff_agility</t>
        </is>
      </c>
    </row>
    <row r="8">
      <c r="B8" s="20" t="inlineStr">
        <is>
          <t>ice</t>
        </is>
      </c>
      <c r="D8" s="20" t="inlineStr">
        <is>
          <t>accessory_1</t>
        </is>
      </c>
      <c r="E8" s="20" t="inlineStr">
        <is>
          <t>buff_endurance</t>
        </is>
      </c>
    </row>
    <row r="9">
      <c r="D9" s="21" t="inlineStr">
        <is>
          <t>accessory_2</t>
        </is>
      </c>
      <c r="E9" s="21" t="inlineStr">
        <is>
          <t>heal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DC2626"/>
    <outlinePr summaryBelow="1" summaryRight="1"/>
    <pageSetUpPr/>
  </sheetPr>
  <dimension ref="A1:F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6" customWidth="1" min="4" max="4"/>
    <col width="14" customWidth="1" min="5" max="5"/>
    <col width="50" customWidth="1" min="6" max="6"/>
  </cols>
  <sheetData>
    <row r="1" ht="40" customHeight="1">
      <c r="A1" s="65" t="inlineStr">
        <is>
          <t>⚔️  SYSTÈME DE COMBAT — Calcul des dégâts &amp; Simulateur</t>
        </is>
      </c>
      <c r="B1" s="63" t="n"/>
      <c r="C1" s="63" t="n"/>
      <c r="D1" s="63" t="n"/>
      <c r="E1" s="63" t="n"/>
      <c r="F1" s="64" t="n"/>
    </row>
    <row r="2" ht="20" customHeight="1">
      <c r="A2" s="66" t="inlineStr">
        <is>
          <t>Cellules JAUNES = paramètres modifiables  |  Cellules BLEUES = formules  |  Cellules VERTES = résultats</t>
        </is>
      </c>
      <c r="B2" s="63" t="n"/>
      <c r="C2" s="63" t="n"/>
      <c r="D2" s="63" t="n"/>
      <c r="E2" s="63" t="n"/>
      <c r="F2" s="64" t="n"/>
    </row>
    <row r="4" ht="28" customHeight="1">
      <c r="A4" s="67" t="inlineStr">
        <is>
          <t>🗡️  A. DÉGÂTS JOUEUR PAR EXERCICE</t>
        </is>
      </c>
      <c r="B4" s="63" t="n"/>
      <c r="C4" s="63" t="n"/>
      <c r="D4" s="63" t="n"/>
      <c r="E4" s="63" t="n"/>
      <c r="F4" s="64" t="n"/>
    </row>
    <row r="5" ht="22" customHeight="1">
      <c r="A5" s="3" t="inlineStr">
        <is>
          <t>Étape</t>
        </is>
      </c>
      <c r="B5" s="3" t="inlineStr">
        <is>
          <t>Variable / Paramètre</t>
        </is>
      </c>
      <c r="C5" s="3" t="inlineStr">
        <is>
          <t>Valeur actuelle</t>
        </is>
      </c>
      <c r="D5" s="3" t="inlineStr">
        <is>
          <t>Exemple simulé</t>
        </is>
      </c>
      <c r="E5" s="3" t="inlineStr">
        <is>
          <t>Unité</t>
        </is>
      </c>
      <c r="F5" s="3" t="inlineStr">
        <is>
          <t>Explication</t>
        </is>
      </c>
    </row>
    <row r="6" ht="28" customHeight="1">
      <c r="A6" s="68" t="inlineStr">
        <is>
          <t>1. Base dommages</t>
        </is>
      </c>
      <c r="B6" s="69" t="inlineStr">
        <is>
          <t>exercise.baseDamage</t>
        </is>
      </c>
      <c r="C6" s="70" t="inlineStr">
        <is>
          <t>8–14</t>
        </is>
      </c>
      <c r="D6" s="70" t="n">
        <v>10</v>
      </c>
      <c r="E6" s="71" t="inlineStr">
        <is>
          <t>pts</t>
        </is>
      </c>
      <c r="F6" s="72" t="inlineStr">
        <is>
          <t>Défini par exercice (voir onglet Exercices). Pompes=8, Tractions=14</t>
        </is>
      </c>
    </row>
    <row r="7" ht="28" customHeight="1">
      <c r="A7" s="55" t="inlineStr">
        <is>
          <t>+ Bonus records</t>
        </is>
      </c>
      <c r="B7" s="44" t="inlineStr">
        <is>
          <t>records_bonus[exerciceId]</t>
        </is>
      </c>
      <c r="C7" s="70" t="inlineStr">
        <is>
          <t>0 → ∞</t>
        </is>
      </c>
      <c r="D7" s="70" t="n">
        <v>3</v>
      </c>
      <c r="E7" s="48" t="inlineStr">
        <is>
          <t>pts</t>
        </is>
      </c>
      <c r="F7" s="45" t="inlineStr">
        <is>
          <t>+1 à chaque record battu sur cet exercice. Cumulatif à vie.</t>
        </is>
      </c>
    </row>
    <row r="8" ht="28" customHeight="1">
      <c r="A8" s="68" t="inlineStr">
        <is>
          <t>× Séries (sets)</t>
        </is>
      </c>
      <c r="B8" s="69" t="inlineStr">
        <is>
          <t>sets</t>
        </is>
      </c>
      <c r="C8" s="70" t="inlineStr">
        <is>
          <t>3–4</t>
        </is>
      </c>
      <c r="D8" s="70" t="n">
        <v>3</v>
      </c>
      <c r="E8" s="71" t="inlineStr">
        <is>
          <t>×</t>
        </is>
      </c>
      <c r="F8" s="72" t="inlineStr">
        <is>
          <t>Nombre de séries effectuées. Ex : 3 séries = ×3</t>
        </is>
      </c>
    </row>
    <row r="9" ht="28" customHeight="1">
      <c r="A9" s="55" t="inlineStr">
        <is>
          <t>× Multiplicateur volume</t>
        </is>
      </c>
      <c r="B9" s="44" t="inlineStr">
        <is>
          <t>repsOrSec / baseUnit</t>
        </is>
      </c>
      <c r="C9" s="70" t="inlineStr">
        <is>
          <t>variable</t>
        </is>
      </c>
      <c r="D9" s="70" t="n">
        <v>1.2</v>
      </c>
      <c r="E9" s="48" t="inlineStr">
        <is>
          <t>×</t>
        </is>
      </c>
      <c r="F9" s="45" t="inlineStr">
        <is>
          <t>Si reps : reps/10. Si secondes : sec/30. Ex: 12 reps → 12/10 = ×1.2</t>
        </is>
      </c>
    </row>
    <row r="10" ht="28" customHeight="1">
      <c r="A10" s="68" t="inlineStr">
        <is>
          <t>+ Bonus poids (si haltères)</t>
        </is>
      </c>
      <c r="B10" s="69" t="inlineStr">
        <is>
          <t>weight × 0.3</t>
        </is>
      </c>
      <c r="C10" s="70" t="inlineStr">
        <is>
          <t>si poids</t>
        </is>
      </c>
      <c r="D10" s="70" t="n">
        <v>0</v>
      </c>
      <c r="E10" s="71" t="inlineStr">
        <is>
          <t>pts</t>
        </is>
      </c>
      <c r="F10" s="72" t="inlineStr">
        <is>
          <t>Seulement si hasWeight=true. Ex: 20kg → +6 dégâts</t>
        </is>
      </c>
    </row>
    <row r="11" ht="28" customHeight="1">
      <c r="A11" s="55" t="inlineStr">
        <is>
          <t>× Force équipement</t>
        </is>
      </c>
      <c r="B11" s="44" t="inlineStr">
        <is>
          <t>1 + equipBonus.force / 200</t>
        </is>
      </c>
      <c r="C11" s="70" t="inlineStr">
        <is>
          <t>≥1.0</t>
        </is>
      </c>
      <c r="D11" s="70" t="n">
        <v>1.05</v>
      </c>
      <c r="E11" s="48" t="inlineStr">
        <is>
          <t>×</t>
        </is>
      </c>
      <c r="F11" s="45" t="inlineStr">
        <is>
          <t>Ex: +10 Force via équipement → ×1.05. Max utile ~+200 Force = ×2.0</t>
        </is>
      </c>
    </row>
    <row r="12" ht="28" customHeight="1">
      <c r="A12" s="73" t="inlineStr">
        <is>
          <t>× Matchup type</t>
        </is>
      </c>
      <c r="B12" s="74" t="inlineStr">
        <is>
          <t>matchupMultiplier</t>
        </is>
      </c>
      <c r="C12" s="70" t="inlineStr">
        <is>
          <t>0.67–1.5</t>
        </is>
      </c>
      <c r="D12" s="75" t="inlineStr">
        <is>
          <t>1.0</t>
        </is>
      </c>
      <c r="E12" s="75" t="inlineStr">
        <is>
          <t>×</t>
        </is>
      </c>
      <c r="F12" s="76" t="inlineStr">
        <is>
          <t>Avantage type : ×1.5 (+50%). Désavantage : ×0.67 (−33%). Neutre : ×1.0</t>
        </is>
      </c>
    </row>
    <row r="13" ht="28" customHeight="1">
      <c r="A13" s="73" t="inlineStr">
        <is>
          <t>× Élément arme/boss</t>
        </is>
      </c>
      <c r="B13" s="74" t="inlineStr">
        <is>
          <t>elementMultiplier</t>
        </is>
      </c>
      <c r="C13" s="70" t="inlineStr">
        <is>
          <t>0.75–1.3</t>
        </is>
      </c>
      <c r="D13" s="75" t="inlineStr">
        <is>
          <t>1.0</t>
        </is>
      </c>
      <c r="E13" s="75" t="inlineStr">
        <is>
          <t>×</t>
        </is>
      </c>
      <c r="F13" s="76" t="inlineStr">
        <is>
          <t>Avantage élément : ×1.25. Désavantage : ×0.75. Holy↔Dark : ×1.3</t>
        </is>
      </c>
    </row>
    <row r="14" ht="28" customHeight="1">
      <c r="A14" s="73" t="inlineStr">
        <is>
          <t>× Réduction défense boss</t>
        </is>
      </c>
      <c r="B14" s="74" t="inlineStr">
        <is>
          <t>100 / (100 + boss.defense)</t>
        </is>
      </c>
      <c r="C14" s="70" t="inlineStr">
        <is>
          <t>0.5–1.0</t>
        </is>
      </c>
      <c r="D14" s="75" t="inlineStr">
        <is>
          <t>0.74</t>
        </is>
      </c>
      <c r="E14" s="75" t="inlineStr">
        <is>
          <t>×</t>
        </is>
      </c>
      <c r="F14" s="76" t="inlineStr">
        <is>
          <t>Ex: boss.defense=35 → 100/135 = ×0.74. Soft-cap naturel.</t>
        </is>
      </c>
    </row>
    <row r="15" ht="28" customHeight="1">
      <c r="A15" s="77" t="inlineStr">
        <is>
          <t>× Compétence (skill)</t>
        </is>
      </c>
      <c r="B15" s="78" t="inlineStr">
        <is>
          <t>×2.0 si skill activé</t>
        </is>
      </c>
      <c r="C15" s="70" t="inlineStr">
        <is>
          <t>1.0 ou 2.0</t>
        </is>
      </c>
      <c r="D15" s="79" t="inlineStr">
        <is>
          <t>1.0</t>
        </is>
      </c>
      <c r="E15" s="79" t="inlineStr">
        <is>
          <t>×</t>
        </is>
      </c>
      <c r="F15" s="80" t="inlineStr">
        <is>
          <t>Le joueur peut activer sa compétence 1× par combat → dégâts doublés</t>
        </is>
      </c>
    </row>
    <row r="16" ht="28" customHeight="1">
      <c r="A16" s="77" t="inlineStr">
        <is>
          <t>× Critique</t>
        </is>
      </c>
      <c r="B16" s="78" t="inlineStr">
        <is>
          <t>critMult si isCrit</t>
        </is>
      </c>
      <c r="C16" s="70" t="inlineStr">
        <is>
          <t>1.4–2.5</t>
        </is>
      </c>
      <c r="D16" s="70" t="n">
        <v>1</v>
      </c>
      <c r="E16" s="79" t="inlineStr">
        <is>
          <t>×</t>
        </is>
      </c>
      <c r="F16" s="80" t="inlineStr">
        <is>
          <t>Si critique déclenché. Multiplicateur = min(2.5, 1.4 + Speed×0.005)</t>
        </is>
      </c>
    </row>
    <row r="17" ht="28" customHeight="1">
      <c r="A17" s="81">
        <f> RÉSULTAT</f>
        <v/>
      </c>
      <c r="B17" s="82" t="inlineStr">
        <is>
          <t>max(1, round(dmg))</t>
        </is>
      </c>
      <c r="C17" s="70" t="inlineStr">
        <is>
          <t>—</t>
        </is>
      </c>
      <c r="D17" s="83" t="inlineStr">
        <is>
          <t>≈ 34</t>
        </is>
      </c>
      <c r="E17" s="84" t="inlineStr">
        <is>
          <t>pts</t>
        </is>
      </c>
      <c r="F17" s="85" t="inlineStr">
        <is>
          <t>Dégâts finaux infligés au boss, minimum 1</t>
        </is>
      </c>
    </row>
    <row r="19" ht="28" customHeight="1">
      <c r="A19" s="53" t="inlineStr">
        <is>
          <t>⚡  B. COUP CRITIQUE</t>
        </is>
      </c>
      <c r="B19" s="63" t="n"/>
      <c r="C19" s="63" t="n"/>
      <c r="D19" s="63" t="n"/>
      <c r="E19" s="63" t="n"/>
      <c r="F19" s="64" t="n"/>
    </row>
    <row r="20" ht="22" customHeight="1">
      <c r="A20" s="3" t="inlineStr">
        <is>
          <t>Variable</t>
        </is>
      </c>
      <c r="B20" s="3" t="inlineStr">
        <is>
          <t>Formule</t>
        </is>
      </c>
      <c r="C20" s="3" t="inlineStr">
        <is>
          <t>Valeur</t>
        </is>
      </c>
      <c r="D20" s="3" t="inlineStr">
        <is>
          <t>—</t>
        </is>
      </c>
      <c r="E20" s="3" t="inlineStr">
        <is>
          <t>Unité</t>
        </is>
      </c>
      <c r="F20" s="3" t="inlineStr">
        <is>
          <t>Explication</t>
        </is>
      </c>
    </row>
    <row r="21" ht="24" customHeight="1">
      <c r="A21" s="39" t="inlineStr">
        <is>
          <t>Vitesse totale</t>
        </is>
      </c>
      <c r="B21" s="86" t="inlineStr">
        <is>
          <t>agility + equipBonus.agility</t>
        </is>
      </c>
      <c r="C21" s="87" t="inlineStr">
        <is>
          <t>variable</t>
        </is>
      </c>
      <c r="D21" s="49" t="inlineStr">
        <is>
          <t>—</t>
        </is>
      </c>
      <c r="E21" s="49" t="inlineStr">
        <is>
          <t>pts</t>
        </is>
      </c>
      <c r="F21" s="42" t="inlineStr">
        <is>
          <t>Stat vitesse du joueur + bonus des équipements</t>
        </is>
      </c>
    </row>
    <row r="22" ht="24" customHeight="1">
      <c r="A22" s="43" t="inlineStr">
        <is>
          <t>Chance de critique</t>
        </is>
      </c>
      <c r="B22" s="86" t="inlineStr">
        <is>
          <t>min(40%, 5% + Speed × 0.5%)</t>
        </is>
      </c>
      <c r="C22" s="87" t="inlineStr">
        <is>
          <t>5% → 40%</t>
        </is>
      </c>
      <c r="D22" s="48" t="inlineStr">
        <is>
          <t>—</t>
        </is>
      </c>
      <c r="E22" s="48" t="inlineStr">
        <is>
          <t>%</t>
        </is>
      </c>
      <c r="F22" s="45" t="inlineStr">
        <is>
          <t>Ex: Speed=20 → 5 + 20×0.5 = 15%. Plafonné à 40%</t>
        </is>
      </c>
    </row>
    <row r="23" ht="24" customHeight="1">
      <c r="A23" s="39" t="inlineStr">
        <is>
          <t>Multiplicateur critique</t>
        </is>
      </c>
      <c r="B23" s="86" t="inlineStr">
        <is>
          <t>min(2.5, 1.4 + Speed × 0.005)</t>
        </is>
      </c>
      <c r="C23" s="87" t="inlineStr">
        <is>
          <t>1.40 → 2.50</t>
        </is>
      </c>
      <c r="D23" s="49" t="inlineStr">
        <is>
          <t>—</t>
        </is>
      </c>
      <c r="E23" s="49" t="inlineStr">
        <is>
          <t>×</t>
        </is>
      </c>
      <c r="F23" s="42" t="inlineStr">
        <is>
          <t>Ex: Speed=50 → 1.4 + 0.25 = ×1.65. Max=×2.5 (atteint à Speed=220)</t>
        </is>
      </c>
    </row>
    <row r="25" ht="28" customHeight="1">
      <c r="A25" s="88" t="inlineStr">
        <is>
          <t>🐉  C. CONTRE-ATTAQUE DU BOSS</t>
        </is>
      </c>
      <c r="B25" s="63" t="n"/>
      <c r="C25" s="63" t="n"/>
      <c r="D25" s="63" t="n"/>
      <c r="E25" s="63" t="n"/>
      <c r="F25" s="64" t="n"/>
    </row>
    <row r="26" ht="22" customHeight="1">
      <c r="A26" s="3" t="inlineStr">
        <is>
          <t>Variable</t>
        </is>
      </c>
      <c r="B26" s="3" t="inlineStr">
        <is>
          <t>Formule</t>
        </is>
      </c>
      <c r="C26" s="3" t="inlineStr">
        <is>
          <t>Valeur</t>
        </is>
      </c>
      <c r="D26" s="3" t="inlineStr">
        <is>
          <t>—</t>
        </is>
      </c>
      <c r="E26" s="3" t="inlineStr">
        <is>
          <t>Unité</t>
        </is>
      </c>
      <c r="F26" s="3" t="inlineStr">
        <is>
          <t>Explication</t>
        </is>
      </c>
    </row>
    <row r="27" ht="24" customHeight="1">
      <c r="A27" s="54" t="inlineStr">
        <is>
          <t>Défense totale joueur</t>
        </is>
      </c>
      <c r="B27" s="86" t="inlineStr">
        <is>
          <t>defense + equipBonus.defense</t>
        </is>
      </c>
      <c r="C27" s="89" t="inlineStr">
        <is>
          <t>variable</t>
        </is>
      </c>
      <c r="D27" s="49" t="inlineStr">
        <is>
          <t>—</t>
        </is>
      </c>
      <c r="E27" s="49" t="inlineStr">
        <is>
          <t>pts</t>
        </is>
      </c>
      <c r="F27" s="42" t="inlineStr">
        <is>
          <t>Stat défense du joueur + défense des équipements</t>
        </is>
      </c>
    </row>
    <row r="28" ht="24" customHeight="1">
      <c r="A28" s="55" t="inlineStr">
        <is>
          <t>Réduction dégâts</t>
        </is>
      </c>
      <c r="B28" s="86" t="inlineStr">
        <is>
          <t>min(70%, totalDef / (totalDef + 50))</t>
        </is>
      </c>
      <c r="C28" s="89" t="inlineStr">
        <is>
          <t>0% → 70%</t>
        </is>
      </c>
      <c r="D28" s="48" t="inlineStr">
        <is>
          <t>—</t>
        </is>
      </c>
      <c r="E28" s="48" t="inlineStr">
        <is>
          <t>%</t>
        </is>
      </c>
      <c r="F28" s="45" t="inlineStr">
        <is>
          <t>Ex: Défense=50 → 50/100 = 50% de réduction. Plafond dur à 70%</t>
        </is>
      </c>
    </row>
    <row r="29" ht="24" customHeight="1">
      <c r="A29" s="54" t="inlineStr">
        <is>
          <t>Dégâts bruts boss</t>
        </is>
      </c>
      <c r="B29" s="86" t="inlineStr">
        <is>
          <t>boss.attack × (0.85 + rand × 0.3)</t>
        </is>
      </c>
      <c r="C29" s="89" t="inlineStr">
        <is>
          <t>±15%</t>
        </is>
      </c>
      <c r="D29" s="49" t="inlineStr">
        <is>
          <t>—</t>
        </is>
      </c>
      <c r="E29" s="49" t="inlineStr">
        <is>
          <t>pts</t>
        </is>
      </c>
      <c r="F29" s="42" t="inlineStr">
        <is>
          <t>Variation aléatoire ±15% autour de boss.attack. Ex: attack=42 → 36–55</t>
        </is>
      </c>
    </row>
    <row r="30" ht="24" customHeight="1">
      <c r="A30" s="81">
        <f> Dégâts reçus</f>
        <v/>
      </c>
      <c r="B30" s="86" t="inlineStr">
        <is>
          <t>max(1, round(raw × (1 − réduction)))</t>
        </is>
      </c>
      <c r="C30" s="83" t="inlineStr">
        <is>
          <t>≥1</t>
        </is>
      </c>
      <c r="D30" s="48" t="inlineStr">
        <is>
          <t>—</t>
        </is>
      </c>
      <c r="E30" s="48" t="inlineStr">
        <is>
          <t>pts</t>
        </is>
      </c>
      <c r="F30" s="45" t="inlineStr">
        <is>
          <t>Ex: 42 atk, 50% réduction → ~21 dégâts reçus</t>
        </is>
      </c>
    </row>
    <row r="32" ht="28" customHeight="1">
      <c r="A32" s="90" t="inlineStr">
        <is>
          <t>✨  D. SORTS (effets en combat)</t>
        </is>
      </c>
      <c r="B32" s="63" t="n"/>
      <c r="C32" s="63" t="n"/>
      <c r="D32" s="63" t="n"/>
      <c r="E32" s="63" t="n"/>
      <c r="F32" s="64" t="n"/>
    </row>
    <row r="33" ht="22" customHeight="1">
      <c r="A33" s="3" t="inlineStr">
        <is>
          <t>Type d'effet</t>
        </is>
      </c>
      <c r="B33" s="3" t="inlineStr">
        <is>
          <t>Formule</t>
        </is>
      </c>
      <c r="C33" s="3" t="inlineStr">
        <is>
          <t>Variable</t>
        </is>
      </c>
      <c r="D33" s="3" t="inlineStr">
        <is>
          <t>—</t>
        </is>
      </c>
      <c r="E33" s="3" t="inlineStr">
        <is>
          <t>Unité</t>
        </is>
      </c>
      <c r="F33" s="3" t="inlineStr">
        <is>
          <t>Explication</t>
        </is>
      </c>
    </row>
    <row r="34" ht="24" customHeight="1">
      <c r="A34" s="91" t="inlineStr">
        <is>
          <t>damage_flat</t>
        </is>
      </c>
      <c r="B34" s="86" t="inlineStr">
        <is>
          <t>spell.value × elementMult(sort→boss)</t>
        </is>
      </c>
      <c r="C34" s="92" t="inlineStr">
        <is>
          <t>spell.value</t>
        </is>
      </c>
      <c r="D34" s="49" t="inlineStr">
        <is>
          <t>—</t>
        </is>
      </c>
      <c r="E34" s="49" t="inlineStr">
        <is>
          <t>pts</t>
        </is>
      </c>
      <c r="F34" s="42" t="inlineStr">
        <is>
          <t>Dégâts directs. L'élément du sort est comparé à l'élément du boss</t>
        </is>
      </c>
    </row>
    <row r="35" ht="24" customHeight="1">
      <c r="A35" s="93" t="inlineStr">
        <is>
          <t>heal_flat</t>
        </is>
      </c>
      <c r="B35" s="86" t="inlineStr">
        <is>
          <t>min(constitution, hp_current + spell.value)</t>
        </is>
      </c>
      <c r="C35" s="92" t="inlineStr">
        <is>
          <t>spell.value</t>
        </is>
      </c>
      <c r="D35" s="48" t="inlineStr">
        <is>
          <t>—</t>
        </is>
      </c>
      <c r="E35" s="48" t="inlineStr">
        <is>
          <t>PV</t>
        </is>
      </c>
      <c r="F35" s="45" t="inlineStr">
        <is>
          <t>Soin plafonné aux PV max du joueur (= constitution)</t>
        </is>
      </c>
    </row>
    <row r="36" ht="24" customHeight="1">
      <c r="A36" s="91" t="inlineStr">
        <is>
          <t>Limitation oncePerCombat</t>
        </is>
      </c>
      <c r="B36" s="86" t="inlineStr">
        <is>
          <t>Bloqué si déjà lancé ce combat</t>
        </is>
      </c>
      <c r="C36" s="92" t="inlineStr">
        <is>
          <t>true/false</t>
        </is>
      </c>
      <c r="D36" s="49" t="inlineStr">
        <is>
          <t>—</t>
        </is>
      </c>
      <c r="E36" s="49" t="inlineStr">
        <is>
          <t>—</t>
        </is>
      </c>
      <c r="F36" s="42" t="inlineStr">
        <is>
          <t>Si oncePerCombat=true, le sort ne peut être utilisé qu'une fois par boss</t>
        </is>
      </c>
    </row>
    <row r="38" ht="28" customHeight="1">
      <c r="A38" s="47" t="inlineStr">
        <is>
          <t>📊  E. TABLE COMPLÈTE DES MULTIPLICATEURS</t>
        </is>
      </c>
      <c r="B38" s="63" t="n"/>
      <c r="C38" s="63" t="n"/>
      <c r="D38" s="63" t="n"/>
      <c r="E38" s="63" t="n"/>
      <c r="F38" s="64" t="n"/>
    </row>
    <row r="39" ht="22" customHeight="1">
      <c r="A39" s="3" t="inlineStr">
        <is>
          <t>Catégorie</t>
        </is>
      </c>
      <c r="B39" s="3" t="inlineStr">
        <is>
          <t>Situation</t>
        </is>
      </c>
      <c r="C39" s="3" t="inlineStr">
        <is>
          <t>Multiplicateur</t>
        </is>
      </c>
      <c r="D39" s="3" t="inlineStr">
        <is>
          <t>Effet sur dégâts</t>
        </is>
      </c>
      <c r="E39" s="3" t="inlineStr">
        <is>
          <t>—</t>
        </is>
      </c>
      <c r="F39" s="3" t="inlineStr">
        <is>
          <t>Source code</t>
        </is>
      </c>
    </row>
    <row r="40" ht="20" customHeight="1">
      <c r="A40" s="94" t="inlineStr">
        <is>
          <t>Matchup type</t>
        </is>
      </c>
      <c r="B40" s="73" t="inlineStr">
        <is>
          <t>Avantage (ex: Force vs boss Agility)</t>
        </is>
      </c>
      <c r="C40" s="89" t="inlineStr">
        <is>
          <t>× 1.50</t>
        </is>
      </c>
      <c r="D40" s="95" t="inlineStr">
        <is>
          <t>+50%</t>
        </is>
      </c>
      <c r="E40" s="75" t="inlineStr">
        <is>
          <t>—</t>
        </is>
      </c>
      <c r="F40" s="76" t="inlineStr">
        <is>
          <t>MATCHUP_ADVANTAGE_MULT = 1.5</t>
        </is>
      </c>
    </row>
    <row r="41" ht="20" customHeight="1">
      <c r="A41" s="94" t="inlineStr">
        <is>
          <t>Matchup type</t>
        </is>
      </c>
      <c r="B41" s="73" t="inlineStr">
        <is>
          <t>Neutre</t>
        </is>
      </c>
      <c r="C41" s="89" t="inlineStr">
        <is>
          <t>× 1.00</t>
        </is>
      </c>
      <c r="D41" s="96" t="inlineStr">
        <is>
          <t>—</t>
        </is>
      </c>
      <c r="E41" s="75" t="inlineStr">
        <is>
          <t>—</t>
        </is>
      </c>
      <c r="F41" s="76" t="inlineStr">
        <is>
          <t>matchupMultiplier → 1.0</t>
        </is>
      </c>
    </row>
    <row r="42" ht="20" customHeight="1">
      <c r="A42" s="94" t="inlineStr">
        <is>
          <t>Matchup type</t>
        </is>
      </c>
      <c r="B42" s="73" t="inlineStr">
        <is>
          <t>Désavantage</t>
        </is>
      </c>
      <c r="C42" s="89" t="inlineStr">
        <is>
          <t>× 0.67</t>
        </is>
      </c>
      <c r="D42" s="97" t="inlineStr">
        <is>
          <t>−33%</t>
        </is>
      </c>
      <c r="E42" s="75" t="inlineStr">
        <is>
          <t>—</t>
        </is>
      </c>
      <c r="F42" s="76" t="inlineStr">
        <is>
          <t>MATCHUP_WEAK_MULT = 1/1.5</t>
        </is>
      </c>
    </row>
    <row r="43" ht="20" customHeight="1">
      <c r="A43" s="98" t="inlineStr">
        <is>
          <t>Élément</t>
        </is>
      </c>
      <c r="B43" s="99" t="inlineStr">
        <is>
          <t>Contre-élément (ex: Feu bat Vent)</t>
        </is>
      </c>
      <c r="C43" s="100" t="inlineStr">
        <is>
          <t>× 1.25</t>
        </is>
      </c>
      <c r="D43" s="95" t="inlineStr">
        <is>
          <t>+25%</t>
        </is>
      </c>
      <c r="E43" s="101" t="inlineStr">
        <is>
          <t>—</t>
        </is>
      </c>
      <c r="F43" s="102" t="inlineStr">
        <is>
          <t>ELEMENT_COUNTERS cycle</t>
        </is>
      </c>
    </row>
    <row r="44" ht="20" customHeight="1">
      <c r="A44" s="98" t="inlineStr">
        <is>
          <t>Élément</t>
        </is>
      </c>
      <c r="B44" s="99" t="inlineStr">
        <is>
          <t>Neutre (pas de relation)</t>
        </is>
      </c>
      <c r="C44" s="100" t="inlineStr">
        <is>
          <t>× 1.00</t>
        </is>
      </c>
      <c r="D44" s="103" t="inlineStr">
        <is>
          <t>—</t>
        </is>
      </c>
      <c r="E44" s="101" t="inlineStr">
        <is>
          <t>—</t>
        </is>
      </c>
      <c r="F44" s="102" t="inlineStr">
        <is>
          <t>elementMultiplier → 1.0</t>
        </is>
      </c>
    </row>
    <row r="45" ht="20" customHeight="1">
      <c r="A45" s="98" t="inlineStr">
        <is>
          <t>Élément</t>
        </is>
      </c>
      <c r="B45" s="99" t="inlineStr">
        <is>
          <t>Faiblesse (élément adverse vous contre)</t>
        </is>
      </c>
      <c r="C45" s="100" t="inlineStr">
        <is>
          <t>× 0.75</t>
        </is>
      </c>
      <c r="D45" s="97" t="inlineStr">
        <is>
          <t>−25%</t>
        </is>
      </c>
      <c r="E45" s="101" t="inlineStr">
        <is>
          <t>—</t>
        </is>
      </c>
      <c r="F45" s="102" t="inlineStr">
        <is>
          <t>ELEMENT_COUNTERS inverse</t>
        </is>
      </c>
    </row>
    <row r="46" ht="20" customHeight="1">
      <c r="A46" s="98" t="inlineStr">
        <is>
          <t>Élément</t>
        </is>
      </c>
      <c r="B46" s="99" t="inlineStr">
        <is>
          <t>Holy vs Dark (ou Dark vs Holy)</t>
        </is>
      </c>
      <c r="C46" s="100" t="inlineStr">
        <is>
          <t>× 1.30</t>
        </is>
      </c>
      <c r="D46" s="95" t="inlineStr">
        <is>
          <t>+30%</t>
        </is>
      </c>
      <c r="E46" s="101" t="inlineStr">
        <is>
          <t>—</t>
        </is>
      </c>
      <c r="F46" s="102" t="inlineStr">
        <is>
          <t>Cas spécial Holy/Dark</t>
        </is>
      </c>
    </row>
    <row r="47" ht="20" customHeight="1">
      <c r="A47" s="104" t="inlineStr">
        <is>
          <t>Compétence</t>
        </is>
      </c>
      <c r="B47" s="77" t="inlineStr">
        <is>
          <t>Skill activé ce tour</t>
        </is>
      </c>
      <c r="C47" s="87" t="inlineStr">
        <is>
          <t>× 2.00</t>
        </is>
      </c>
      <c r="D47" s="105" t="inlineStr">
        <is>
          <t>×2 dmg</t>
        </is>
      </c>
      <c r="E47" s="79" t="inlineStr">
        <is>
          <t>—</t>
        </is>
      </c>
      <c r="F47" s="80" t="inlineStr">
        <is>
          <t>options.skill → ×2</t>
        </is>
      </c>
    </row>
    <row r="48" ht="20" customHeight="1">
      <c r="A48" s="104" t="inlineStr">
        <is>
          <t>Compétence</t>
        </is>
      </c>
      <c r="B48" s="77" t="inlineStr">
        <is>
          <t>Skill non activé</t>
        </is>
      </c>
      <c r="C48" s="87" t="inlineStr">
        <is>
          <t>× 1.00</t>
        </is>
      </c>
      <c r="D48" s="106" t="inlineStr">
        <is>
          <t>—</t>
        </is>
      </c>
      <c r="E48" s="79" t="inlineStr">
        <is>
          <t>—</t>
        </is>
      </c>
      <c r="F48" s="80" t="inlineStr">
        <is>
          <t>normal</t>
        </is>
      </c>
    </row>
    <row r="49" ht="20" customHeight="1">
      <c r="A49" s="104" t="inlineStr">
        <is>
          <t>Critique</t>
        </is>
      </c>
      <c r="B49" s="77" t="inlineStr">
        <is>
          <t>Coup critique (aléatoire)</t>
        </is>
      </c>
      <c r="C49" s="87" t="inlineStr">
        <is>
          <t>× 1.4–2.5</t>
        </is>
      </c>
      <c r="D49" s="105" t="inlineStr">
        <is>
          <t>varie</t>
        </is>
      </c>
      <c r="E49" s="79" t="inlineStr">
        <is>
          <t>—</t>
        </is>
      </c>
      <c r="F49" s="80" t="inlineStr">
        <is>
          <t>critMult (dépend de Speed)</t>
        </is>
      </c>
    </row>
    <row r="50" ht="20" customHeight="1">
      <c r="A50" s="104" t="inlineStr">
        <is>
          <t>Critique</t>
        </is>
      </c>
      <c r="B50" s="77" t="inlineStr">
        <is>
          <t>Pas de critique</t>
        </is>
      </c>
      <c r="C50" s="87" t="inlineStr">
        <is>
          <t>× 1.00</t>
        </is>
      </c>
      <c r="D50" s="106" t="inlineStr">
        <is>
          <t>—</t>
        </is>
      </c>
      <c r="E50" s="79" t="inlineStr">
        <is>
          <t>—</t>
        </is>
      </c>
      <c r="F50" s="80" t="inlineStr">
        <is>
          <t>aucun</t>
        </is>
      </c>
    </row>
    <row r="51" ht="20" customHeight="1">
      <c r="A51" s="107" t="inlineStr">
        <is>
          <t>Défense boss</t>
        </is>
      </c>
      <c r="B51" s="68" t="inlineStr">
        <is>
          <t>boss.defense = 0</t>
        </is>
      </c>
      <c r="C51" s="97" t="inlineStr">
        <is>
          <t>× 1.00</t>
        </is>
      </c>
      <c r="D51" s="108" t="inlineStr">
        <is>
          <t>—</t>
        </is>
      </c>
      <c r="E51" s="71" t="inlineStr">
        <is>
          <t>—</t>
        </is>
      </c>
      <c r="F51" s="72" t="inlineStr">
        <is>
          <t>100/(100+0)</t>
        </is>
      </c>
    </row>
    <row r="52" ht="20" customHeight="1">
      <c r="A52" s="107" t="inlineStr">
        <is>
          <t>Défense boss</t>
        </is>
      </c>
      <c r="B52" s="68" t="inlineStr">
        <is>
          <t>boss.defense = 25 (faible)</t>
        </is>
      </c>
      <c r="C52" s="97" t="inlineStr">
        <is>
          <t>× 0.80</t>
        </is>
      </c>
      <c r="D52" s="97" t="inlineStr">
        <is>
          <t>−20%</t>
        </is>
      </c>
      <c r="E52" s="71" t="inlineStr">
        <is>
          <t>—</t>
        </is>
      </c>
      <c r="F52" s="72" t="inlineStr">
        <is>
          <t>100/(100+25)</t>
        </is>
      </c>
    </row>
    <row r="53" ht="20" customHeight="1">
      <c r="A53" s="107" t="inlineStr">
        <is>
          <t>Défense boss</t>
        </is>
      </c>
      <c r="B53" s="68" t="inlineStr">
        <is>
          <t>boss.defense = 50 (moyen)</t>
        </is>
      </c>
      <c r="C53" s="97" t="inlineStr">
        <is>
          <t>× 0.67</t>
        </is>
      </c>
      <c r="D53" s="97" t="inlineStr">
        <is>
          <t>−33%</t>
        </is>
      </c>
      <c r="E53" s="71" t="inlineStr">
        <is>
          <t>—</t>
        </is>
      </c>
      <c r="F53" s="72" t="inlineStr">
        <is>
          <t>100/(100+50)</t>
        </is>
      </c>
    </row>
    <row r="54" ht="20" customHeight="1">
      <c r="A54" s="107" t="inlineStr">
        <is>
          <t>Défense boss</t>
        </is>
      </c>
      <c r="B54" s="68" t="inlineStr">
        <is>
          <t>boss.defense = 100 (élevé)</t>
        </is>
      </c>
      <c r="C54" s="97" t="inlineStr">
        <is>
          <t>× 0.50</t>
        </is>
      </c>
      <c r="D54" s="97" t="inlineStr">
        <is>
          <t>−50%</t>
        </is>
      </c>
      <c r="E54" s="71" t="inlineStr">
        <is>
          <t>—</t>
        </is>
      </c>
      <c r="F54" s="72" t="inlineStr">
        <is>
          <t>100/(100+100)</t>
        </is>
      </c>
    </row>
    <row r="56" ht="28" customHeight="1">
      <c r="A56" s="46" t="inlineStr">
        <is>
          <t>🧮  F. SIMULATEUR DE DÉGÂTS  (remplis les cellules jaunes)</t>
        </is>
      </c>
      <c r="B56" s="63" t="n"/>
      <c r="C56" s="63" t="n"/>
      <c r="D56" s="63" t="n"/>
      <c r="E56" s="63" t="n"/>
      <c r="F56" s="64" t="n"/>
    </row>
    <row r="57" ht="22" customHeight="1">
      <c r="A57" s="3" t="inlineStr">
        <is>
          <t>Paramètre</t>
        </is>
      </c>
      <c r="B57" s="3" t="inlineStr">
        <is>
          <t>Valeur</t>
        </is>
      </c>
      <c r="C57" s="3" t="inlineStr">
        <is>
          <t>—</t>
        </is>
      </c>
      <c r="D57" s="3" t="inlineStr">
        <is>
          <t>—</t>
        </is>
      </c>
      <c r="E57" s="3" t="inlineStr">
        <is>
          <t>—</t>
        </is>
      </c>
      <c r="F57" s="3" t="inlineStr">
        <is>
          <t>Note</t>
        </is>
      </c>
    </row>
    <row r="58" ht="22" customHeight="1">
      <c r="A58" s="39" t="inlineStr">
        <is>
          <t>baseDamage (exercice)</t>
        </is>
      </c>
      <c r="B58" s="70" t="n">
        <v>10</v>
      </c>
      <c r="C58" s="49" t="inlineStr">
        <is>
          <t>pts</t>
        </is>
      </c>
      <c r="D58" s="49" t="inlineStr">
        <is>
          <t>—</t>
        </is>
      </c>
      <c r="E58" s="49" t="inlineStr">
        <is>
          <t>—</t>
        </is>
      </c>
      <c r="F58" s="42" t="inlineStr">
        <is>
          <t>Ex: Pompes=8, Tractions=14</t>
        </is>
      </c>
    </row>
    <row r="59" ht="22" customHeight="1">
      <c r="A59" s="43" t="inlineStr">
        <is>
          <t>recordBonus (records battus)</t>
        </is>
      </c>
      <c r="B59" s="70" t="n">
        <v>0</v>
      </c>
      <c r="C59" s="48" t="inlineStr">
        <is>
          <t>pts</t>
        </is>
      </c>
      <c r="D59" s="48" t="inlineStr">
        <is>
          <t>—</t>
        </is>
      </c>
      <c r="E59" s="48" t="inlineStr">
        <is>
          <t>—</t>
        </is>
      </c>
      <c r="F59" s="45" t="inlineStr">
        <is>
          <t>+1 par record battu sur cet exercice</t>
        </is>
      </c>
    </row>
    <row r="60" ht="22" customHeight="1">
      <c r="A60" s="39" t="inlineStr">
        <is>
          <t>sets (séries)</t>
        </is>
      </c>
      <c r="B60" s="70" t="n">
        <v>3</v>
      </c>
      <c r="C60" s="49" t="inlineStr">
        <is>
          <t>×</t>
        </is>
      </c>
      <c r="D60" s="49" t="inlineStr">
        <is>
          <t>—</t>
        </is>
      </c>
      <c r="E60" s="49" t="inlineStr">
        <is>
          <t>—</t>
        </is>
      </c>
      <c r="F60" s="42" t="inlineStr"/>
    </row>
    <row r="61" ht="22" customHeight="1">
      <c r="A61" s="43" t="inlineStr">
        <is>
          <t>repsOrSec (reps ou sec)</t>
        </is>
      </c>
      <c r="B61" s="70" t="n">
        <v>12</v>
      </c>
      <c r="C61" s="48" t="inlineStr">
        <is>
          <t>—</t>
        </is>
      </c>
      <c r="D61" s="48" t="inlineStr">
        <is>
          <t>—</t>
        </is>
      </c>
      <c r="E61" s="48" t="inlineStr">
        <is>
          <t>—</t>
        </is>
      </c>
      <c r="F61" s="45" t="inlineStr"/>
    </row>
    <row r="62" ht="22" customHeight="1">
      <c r="A62" s="39" t="inlineStr">
        <is>
          <t>baseUnit (10=reps, 30=sec)</t>
        </is>
      </c>
      <c r="B62" s="70" t="n">
        <v>10</v>
      </c>
      <c r="C62" s="49" t="inlineStr">
        <is>
          <t>—</t>
        </is>
      </c>
      <c r="D62" s="49" t="inlineStr">
        <is>
          <t>—</t>
        </is>
      </c>
      <c r="E62" s="49" t="inlineStr">
        <is>
          <t>—</t>
        </is>
      </c>
      <c r="F62" s="42" t="inlineStr">
        <is>
          <t>10 si répétitions, 30 si secondes</t>
        </is>
      </c>
    </row>
    <row r="63" ht="22" customHeight="1">
      <c r="A63" s="43" t="inlineStr">
        <is>
          <t>weight (kg, 0 si sans poids)</t>
        </is>
      </c>
      <c r="B63" s="70" t="n">
        <v>0</v>
      </c>
      <c r="C63" s="48" t="inlineStr">
        <is>
          <t>kg</t>
        </is>
      </c>
      <c r="D63" s="48" t="inlineStr">
        <is>
          <t>—</t>
        </is>
      </c>
      <c r="E63" s="48" t="inlineStr">
        <is>
          <t>—</t>
        </is>
      </c>
      <c r="F63" s="45" t="inlineStr">
        <is>
          <t>Laisse 0 si exercice sans poids</t>
        </is>
      </c>
    </row>
    <row r="64" ht="22" customHeight="1">
      <c r="A64" s="39" t="inlineStr">
        <is>
          <t>equipBonus.force</t>
        </is>
      </c>
      <c r="B64" s="70" t="n">
        <v>5</v>
      </c>
      <c r="C64" s="49" t="inlineStr">
        <is>
          <t>pts</t>
        </is>
      </c>
      <c r="D64" s="49" t="inlineStr">
        <is>
          <t>—</t>
        </is>
      </c>
      <c r="E64" s="49" t="inlineStr">
        <is>
          <t>—</t>
        </is>
      </c>
      <c r="F64" s="42" t="inlineStr">
        <is>
          <t>Total force des équipements</t>
        </is>
      </c>
    </row>
    <row r="65" ht="22" customHeight="1">
      <c r="A65" s="43" t="inlineStr">
        <is>
          <t>matchupMult</t>
        </is>
      </c>
      <c r="B65" s="70" t="n">
        <v>1</v>
      </c>
      <c r="C65" s="48" t="inlineStr">
        <is>
          <t>×</t>
        </is>
      </c>
      <c r="D65" s="48" t="inlineStr">
        <is>
          <t>—</t>
        </is>
      </c>
      <c r="E65" s="48" t="inlineStr">
        <is>
          <t>—</t>
        </is>
      </c>
      <c r="F65" s="45" t="inlineStr">
        <is>
          <t>1.5 avantage / 1.0 neutre / 0.67 désavantage</t>
        </is>
      </c>
    </row>
    <row r="66" ht="22" customHeight="1">
      <c r="A66" s="39" t="inlineStr">
        <is>
          <t>elementMult</t>
        </is>
      </c>
      <c r="B66" s="70" t="n">
        <v>1</v>
      </c>
      <c r="C66" s="49" t="inlineStr">
        <is>
          <t>×</t>
        </is>
      </c>
      <c r="D66" s="49" t="inlineStr">
        <is>
          <t>—</t>
        </is>
      </c>
      <c r="E66" s="49" t="inlineStr">
        <is>
          <t>—</t>
        </is>
      </c>
      <c r="F66" s="42" t="inlineStr">
        <is>
          <t>1.25 / 1.0 / 0.75 / 1.3 (holy↔dark)</t>
        </is>
      </c>
    </row>
    <row r="67" ht="22" customHeight="1">
      <c r="A67" s="43" t="inlineStr">
        <is>
          <t>skillActive (0 ou 1)</t>
        </is>
      </c>
      <c r="B67" s="70" t="n">
        <v>0</v>
      </c>
      <c r="C67" s="48" t="inlineStr">
        <is>
          <t>—</t>
        </is>
      </c>
      <c r="D67" s="48" t="inlineStr">
        <is>
          <t>—</t>
        </is>
      </c>
      <c r="E67" s="48" t="inlineStr">
        <is>
          <t>—</t>
        </is>
      </c>
      <c r="F67" s="45" t="inlineStr">
        <is>
          <t>1 = skill activé ce tour (×2)</t>
        </is>
      </c>
    </row>
    <row r="68" ht="22" customHeight="1">
      <c r="A68" s="39" t="inlineStr">
        <is>
          <t>critActive (0 ou 1)</t>
        </is>
      </c>
      <c r="B68" s="70" t="n">
        <v>0</v>
      </c>
      <c r="C68" s="49" t="inlineStr">
        <is>
          <t>—</t>
        </is>
      </c>
      <c r="D68" s="49" t="inlineStr">
        <is>
          <t>—</t>
        </is>
      </c>
      <c r="E68" s="49" t="inlineStr">
        <is>
          <t>—</t>
        </is>
      </c>
      <c r="F68" s="42" t="inlineStr">
        <is>
          <t>1 = coup critique ce tour</t>
        </is>
      </c>
    </row>
    <row r="69" ht="22" customHeight="1">
      <c r="A69" s="43" t="inlineStr">
        <is>
          <t>critMult</t>
        </is>
      </c>
      <c r="B69" s="70" t="n">
        <v>1.5</v>
      </c>
      <c r="C69" s="48" t="inlineStr">
        <is>
          <t>×</t>
        </is>
      </c>
      <c r="D69" s="48" t="inlineStr">
        <is>
          <t>—</t>
        </is>
      </c>
      <c r="E69" s="48" t="inlineStr">
        <is>
          <t>—</t>
        </is>
      </c>
      <c r="F69" s="45" t="inlineStr">
        <is>
          <t>min(2.5, 1.4 + Speed×0.005). Ex: Speed=20 → 1.50</t>
        </is>
      </c>
    </row>
    <row r="70" ht="22" customHeight="1">
      <c r="A70" s="39" t="inlineStr">
        <is>
          <t>boss.defense</t>
        </is>
      </c>
      <c r="B70" s="70" t="n">
        <v>10</v>
      </c>
      <c r="C70" s="49" t="inlineStr">
        <is>
          <t>pts</t>
        </is>
      </c>
      <c r="D70" s="49" t="inlineStr">
        <is>
          <t>—</t>
        </is>
      </c>
      <c r="E70" s="49" t="inlineStr">
        <is>
          <t>—</t>
        </is>
      </c>
      <c r="F70" s="42" t="inlineStr">
        <is>
          <t>Défense du boss ciblé</t>
        </is>
      </c>
    </row>
    <row r="72" ht="20" customHeight="1">
      <c r="A72" s="109" t="inlineStr">
        <is>
          <t>─── Calcul intermédiaire (automatique) ───</t>
        </is>
      </c>
      <c r="B72" s="63" t="n"/>
      <c r="C72" s="63" t="n"/>
      <c r="D72" s="63" t="n"/>
      <c r="E72" s="63" t="n"/>
      <c r="F72" s="64" t="n"/>
    </row>
    <row r="73" ht="22" customHeight="1">
      <c r="A73" s="40" t="inlineStr">
        <is>
          <t>volumeMult</t>
        </is>
      </c>
      <c r="B73" s="86">
        <f>B61/B62</f>
        <v/>
      </c>
      <c r="C73" s="49" t="inlineStr">
        <is>
          <t>×</t>
        </is>
      </c>
      <c r="D73" s="49" t="inlineStr">
        <is>
          <t>—</t>
        </is>
      </c>
      <c r="E73" s="49" t="inlineStr">
        <is>
          <t>—</t>
        </is>
      </c>
      <c r="F73" s="42" t="inlineStr">
        <is>
          <t>repsOrSec / baseUnit</t>
        </is>
      </c>
    </row>
    <row r="74" ht="22" customHeight="1">
      <c r="A74" s="44" t="inlineStr">
        <is>
          <t>base_dmg</t>
        </is>
      </c>
      <c r="B74" s="86">
        <f>(B58+B59)*B60*B73</f>
        <v/>
      </c>
      <c r="C74" s="48" t="inlineStr">
        <is>
          <t>pts</t>
        </is>
      </c>
      <c r="D74" s="48" t="inlineStr">
        <is>
          <t>—</t>
        </is>
      </c>
      <c r="E74" s="48" t="inlineStr">
        <is>
          <t>—</t>
        </is>
      </c>
      <c r="F74" s="45" t="inlineStr">
        <is>
          <t>(baseDamage+recordBonus)×sets×volumeMult</t>
        </is>
      </c>
    </row>
    <row r="75" ht="22" customHeight="1">
      <c r="A75" s="40" t="inlineStr">
        <is>
          <t>+ bonus poids</t>
        </is>
      </c>
      <c r="B75" s="86">
        <f>B64*0.3</f>
        <v/>
      </c>
      <c r="C75" s="49" t="inlineStr">
        <is>
          <t>pts</t>
        </is>
      </c>
      <c r="D75" s="49" t="inlineStr">
        <is>
          <t>—</t>
        </is>
      </c>
      <c r="E75" s="49" t="inlineStr">
        <is>
          <t>—</t>
        </is>
      </c>
      <c r="F75" s="42" t="inlineStr">
        <is>
          <t>weight × 0.3 (si hasWeight)</t>
        </is>
      </c>
    </row>
    <row r="76" ht="22" customHeight="1">
      <c r="A76" s="44" t="inlineStr">
        <is>
          <t>forceMult</t>
        </is>
      </c>
      <c r="B76" s="86">
        <f>1+B65/200</f>
        <v/>
      </c>
      <c r="C76" s="48" t="inlineStr">
        <is>
          <t>×</t>
        </is>
      </c>
      <c r="D76" s="48" t="inlineStr">
        <is>
          <t>—</t>
        </is>
      </c>
      <c r="E76" s="48" t="inlineStr">
        <is>
          <t>—</t>
        </is>
      </c>
      <c r="F76" s="45" t="inlineStr">
        <is>
          <t>1 + equipBonus.force / 200</t>
        </is>
      </c>
    </row>
    <row r="77" ht="22" customHeight="1">
      <c r="A77" s="40" t="inlineStr">
        <is>
          <t>defReduction</t>
        </is>
      </c>
      <c r="B77" s="86">
        <f>100/(100+B70)</f>
        <v/>
      </c>
      <c r="C77" s="49" t="inlineStr">
        <is>
          <t>×</t>
        </is>
      </c>
      <c r="D77" s="49" t="inlineStr">
        <is>
          <t>—</t>
        </is>
      </c>
      <c r="E77" s="49" t="inlineStr">
        <is>
          <t>—</t>
        </is>
      </c>
      <c r="F77" s="42" t="inlineStr">
        <is>
          <t>100 / (100 + boss.defense)</t>
        </is>
      </c>
    </row>
    <row r="78" ht="22" customHeight="1">
      <c r="A78" s="44" t="inlineStr">
        <is>
          <t>skillMult</t>
        </is>
      </c>
      <c r="B78" s="86">
        <f>IF(B67=1,2,1)</f>
        <v/>
      </c>
      <c r="C78" s="48" t="inlineStr">
        <is>
          <t>×</t>
        </is>
      </c>
      <c r="D78" s="48" t="inlineStr">
        <is>
          <t>—</t>
        </is>
      </c>
      <c r="E78" s="48" t="inlineStr">
        <is>
          <t>—</t>
        </is>
      </c>
      <c r="F78" s="45" t="inlineStr">
        <is>
          <t>×2 si skill activé</t>
        </is>
      </c>
    </row>
    <row r="79" ht="22" customHeight="1">
      <c r="A79" s="40" t="inlineStr">
        <is>
          <t>critMult_eff</t>
        </is>
      </c>
      <c r="B79" s="86">
        <f>IF(B68=1,B69,1)</f>
        <v/>
      </c>
      <c r="C79" s="49" t="inlineStr">
        <is>
          <t>×</t>
        </is>
      </c>
      <c r="D79" s="49" t="inlineStr">
        <is>
          <t>—</t>
        </is>
      </c>
      <c r="E79" s="49" t="inlineStr">
        <is>
          <t>—</t>
        </is>
      </c>
      <c r="F79" s="42" t="inlineStr">
        <is>
          <t>critMult effectif ce tour</t>
        </is>
      </c>
    </row>
    <row r="81" ht="30" customHeight="1">
      <c r="A81" s="110" t="inlineStr">
        <is>
          <t>🎯  DÉGÂTS FINAUX (arrondi, min 1)</t>
        </is>
      </c>
      <c r="B81" s="83">
        <f>MAX(1,ROUND((B74+B75)*B76*B65*B66*B77*B78*B79,0))</f>
        <v/>
      </c>
      <c r="C81" s="95" t="inlineStr">
        <is>
          <t>pts</t>
        </is>
      </c>
      <c r="D81" s="111" t="inlineStr">
        <is>
          <t>← Ce chiffre change automatiquement quand tu modifies les valeurs jaunes</t>
        </is>
      </c>
      <c r="E81" s="63" t="n"/>
      <c r="F81" s="64" t="n"/>
    </row>
  </sheetData>
  <mergeCells count="11">
    <mergeCell ref="A38:F38"/>
    <mergeCell ref="A2:F2"/>
    <mergeCell ref="D81:F81"/>
    <mergeCell ref="A19:F19"/>
    <mergeCell ref="A1:F1"/>
    <mergeCell ref="A32:F32"/>
    <mergeCell ref="A81"/>
    <mergeCell ref="A56:F56"/>
    <mergeCell ref="A4:F4"/>
    <mergeCell ref="A72:F72"/>
    <mergeCell ref="A25:F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18" customWidth="1" min="4" max="4"/>
    <col width="14" customWidth="1" min="5" max="5"/>
    <col width="8" customWidth="1" min="6" max="6"/>
    <col width="14" customWidth="1" min="7" max="7"/>
    <col width="50" customWidth="1" min="8" max="8"/>
    <col width="14" customWidth="1" min="9" max="9"/>
    <col width="14" customWidth="1" min="10" max="10"/>
    <col width="16" customWidth="1" min="11" max="11"/>
    <col width="14" customWidth="1" min="12" max="12"/>
    <col width="16" customWidth="1" min="13" max="13"/>
    <col width="14" customWidth="1" min="14" max="14"/>
  </cols>
  <sheetData>
    <row r="1" ht="24" customHeight="1">
      <c r="A1" s="154" t="inlineStr">
        <is>
          <t>ID</t>
        </is>
      </c>
      <c r="B1" s="154" t="inlineStr">
        <is>
          <t>Nom</t>
        </is>
      </c>
      <c r="C1" s="154" t="inlineStr">
        <is>
          <t>Tier</t>
        </is>
      </c>
      <c r="D1" s="154" t="inlineStr">
        <is>
          <t>Icône</t>
        </is>
      </c>
      <c r="E1" s="154" t="inlineStr">
        <is>
          <t>Effet</t>
        </is>
      </c>
      <c r="F1" s="154" t="inlineStr">
        <is>
          <t>Valeur</t>
        </is>
      </c>
      <c r="G1" s="154" t="inlineStr">
        <is>
          <t>Barre requise</t>
        </is>
      </c>
      <c r="H1" s="154" t="inlineStr">
        <is>
          <t>Description</t>
        </is>
      </c>
      <c r="I1" s="154" t="inlineStr">
        <is>
          <t>Déblocage type</t>
        </is>
      </c>
      <c r="J1" s="154" t="inlineStr">
        <is>
          <t>Niveau requis</t>
        </is>
      </c>
      <c r="K1" s="154" t="inlineStr">
        <is>
          <t>Boss ID</t>
        </is>
      </c>
      <c r="L1" s="154" t="inlineStr">
        <is>
          <t>Kills requis</t>
        </is>
      </c>
      <c r="M1" s="154" t="inlineStr">
        <is>
          <t>Limite ID</t>
        </is>
      </c>
      <c r="N1" s="154" t="inlineStr">
        <is>
          <t>Usages requis</t>
        </is>
      </c>
    </row>
    <row r="2" ht="30" customHeight="1">
      <c r="A2" s="155" t="inlineStr">
        <is>
          <t>blade_rush</t>
        </is>
      </c>
      <c r="B2" s="155" t="inlineStr">
        <is>
          <t>Ruée Tranchante</t>
        </is>
      </c>
      <c r="C2" s="156" t="n">
        <v>1</v>
      </c>
      <c r="D2" s="155" t="inlineStr">
        <is>
          <t>sword-clash</t>
        </is>
      </c>
      <c r="E2" s="155" t="inlineStr">
        <is>
          <t>damage_flat</t>
        </is>
      </c>
      <c r="F2" s="155" t="n">
        <v>220</v>
      </c>
      <c r="G2" s="155" t="n">
        <v>1</v>
      </c>
      <c r="H2" s="157" t="inlineStr">
        <is>
          <t>Une charge furieuse qui laboure l'ennemi de coups rapides.</t>
        </is>
      </c>
      <c r="I2" s="155" t="inlineStr">
        <is>
          <t>level</t>
        </is>
      </c>
      <c r="J2" s="155" t="n">
        <v>1</v>
      </c>
      <c r="K2" s="155" t="inlineStr"/>
      <c r="L2" s="155" t="inlineStr"/>
      <c r="M2" s="155" t="inlineStr"/>
      <c r="N2" s="155" t="inlineStr"/>
    </row>
    <row r="3" ht="30" customHeight="1">
      <c r="A3" s="158" t="inlineStr">
        <is>
          <t>battle_surge</t>
        </is>
      </c>
      <c r="B3" s="158" t="inlineStr">
        <is>
          <t>Surge de Bataille</t>
        </is>
      </c>
      <c r="C3" s="156" t="n">
        <v>1</v>
      </c>
      <c r="D3" s="158" t="inlineStr">
        <is>
          <t>power-lightning</t>
        </is>
      </c>
      <c r="E3" s="158" t="inlineStr">
        <is>
          <t>buff_atk</t>
        </is>
      </c>
      <c r="F3" s="158" t="n">
        <v>3</v>
      </c>
      <c r="G3" s="158" t="n">
        <v>1</v>
      </c>
      <c r="H3" s="159" t="inlineStr">
        <is>
          <t>L'adrénaline monte. Tes 3 prochains exercices infligent ×2 dégâts.</t>
        </is>
      </c>
      <c r="I3" s="158" t="inlineStr">
        <is>
          <t>level</t>
        </is>
      </c>
      <c r="J3" s="158" t="n">
        <v>5</v>
      </c>
      <c r="K3" s="158" t="inlineStr"/>
      <c r="L3" s="158" t="inlineStr"/>
      <c r="M3" s="158" t="inlineStr"/>
      <c r="N3" s="158" t="inlineStr"/>
    </row>
    <row r="4" ht="30" customHeight="1">
      <c r="A4" s="155" t="inlineStr">
        <is>
          <t>iron_will</t>
        </is>
      </c>
      <c r="B4" s="155" t="inlineStr">
        <is>
          <t>Volonté d'Acier</t>
        </is>
      </c>
      <c r="C4" s="156" t="n">
        <v>1</v>
      </c>
      <c r="D4" s="155" t="inlineStr">
        <is>
          <t>heart-shield</t>
        </is>
      </c>
      <c r="E4" s="155" t="inlineStr">
        <is>
          <t>heal_pct</t>
        </is>
      </c>
      <c r="F4" s="155" t="n">
        <v>40</v>
      </c>
      <c r="G4" s="155" t="n">
        <v>1</v>
      </c>
      <c r="H4" s="157" t="inlineStr">
        <is>
          <t>Tu puises dans tes dernières réserves et récupères 40% de tes PV.</t>
        </is>
      </c>
      <c r="I4" s="155" t="inlineStr">
        <is>
          <t>kill_count</t>
        </is>
      </c>
      <c r="J4" s="155" t="inlineStr"/>
      <c r="K4" s="155" t="inlineStr">
        <is>
          <t>wolf_alpha</t>
        </is>
      </c>
      <c r="L4" s="155" t="n">
        <v>3</v>
      </c>
      <c r="M4" s="155" t="inlineStr"/>
      <c r="N4" s="155" t="inlineStr"/>
    </row>
    <row r="5" ht="30" customHeight="1">
      <c r="A5" s="158" t="inlineStr">
        <is>
          <t>limit_slash</t>
        </is>
      </c>
      <c r="B5" s="158" t="inlineStr">
        <is>
          <t>Taillade Limite</t>
        </is>
      </c>
      <c r="C5" s="160" t="n">
        <v>2</v>
      </c>
      <c r="D5" s="158" t="inlineStr">
        <is>
          <t>sword-spin</t>
        </is>
      </c>
      <c r="E5" s="158" t="inlineStr">
        <is>
          <t>damage_pct</t>
        </is>
      </c>
      <c r="F5" s="158" t="n">
        <v>20</v>
      </c>
      <c r="G5" s="158" t="n">
        <v>1</v>
      </c>
      <c r="H5" s="159" t="inlineStr">
        <is>
          <t>Un coup d'une violence absolue qui arrache 20% des PV du boss.</t>
        </is>
      </c>
      <c r="I5" s="158" t="inlineStr">
        <is>
          <t>level</t>
        </is>
      </c>
      <c r="J5" s="158" t="n">
        <v>15</v>
      </c>
      <c r="K5" s="158" t="inlineStr"/>
      <c r="L5" s="158" t="inlineStr"/>
      <c r="M5" s="158" t="inlineStr"/>
      <c r="N5" s="158" t="inlineStr"/>
    </row>
    <row r="6" ht="30" customHeight="1">
      <c r="A6" s="155" t="inlineStr">
        <is>
          <t>crimson_wave</t>
        </is>
      </c>
      <c r="B6" s="155" t="inlineStr">
        <is>
          <t>Vague Écarlate</t>
        </is>
      </c>
      <c r="C6" s="160" t="n">
        <v>2</v>
      </c>
      <c r="D6" s="155" t="inlineStr">
        <is>
          <t>blood-swirl</t>
        </is>
      </c>
      <c r="E6" s="155" t="inlineStr">
        <is>
          <t>damage_flat</t>
        </is>
      </c>
      <c r="F6" s="155" t="n">
        <v>500</v>
      </c>
      <c r="G6" s="155" t="n">
        <v>1</v>
      </c>
      <c r="H6" s="157" t="inlineStr">
        <is>
          <t>Une onde de choc écarlate qui dévaste tout sur son passage.</t>
        </is>
      </c>
      <c r="I6" s="155" t="inlineStr">
        <is>
          <t>limit_uses</t>
        </is>
      </c>
      <c r="J6" s="155" t="inlineStr"/>
      <c r="K6" s="155" t="inlineStr"/>
      <c r="L6" s="155" t="inlineStr"/>
      <c r="M6" s="155" t="inlineStr">
        <is>
          <t>blade_rush</t>
        </is>
      </c>
      <c r="N6" s="155" t="n">
        <v>10</v>
      </c>
    </row>
    <row r="7" ht="30" customHeight="1">
      <c r="A7" s="158" t="inlineStr">
        <is>
          <t>phoenix_wake</t>
        </is>
      </c>
      <c r="B7" s="158" t="inlineStr">
        <is>
          <t>Éveil du Phénix</t>
        </is>
      </c>
      <c r="C7" s="160" t="n">
        <v>2</v>
      </c>
      <c r="D7" s="158" t="inlineStr">
        <is>
          <t>fire-bird</t>
        </is>
      </c>
      <c r="E7" s="158" t="inlineStr">
        <is>
          <t>heal_pct</t>
        </is>
      </c>
      <c r="F7" s="158" t="n">
        <v>70</v>
      </c>
      <c r="G7" s="158" t="n">
        <v>1</v>
      </c>
      <c r="H7" s="159" t="inlineStr">
        <is>
          <t>Tu renais de tes cendres. Récupère 70% de tes PV.</t>
        </is>
      </c>
      <c r="I7" s="158" t="inlineStr">
        <is>
          <t>kill_count</t>
        </is>
      </c>
      <c r="J7" s="158" t="inlineStr"/>
      <c r="K7" s="158" t="inlineStr">
        <is>
          <t>wolf_king</t>
        </is>
      </c>
      <c r="L7" s="158" t="n">
        <v>1</v>
      </c>
      <c r="M7" s="158" t="inlineStr"/>
      <c r="N7" s="158" t="inlineStr"/>
    </row>
    <row r="8" ht="30" customHeight="1">
      <c r="A8" s="155" t="inlineStr">
        <is>
          <t>omega_break</t>
        </is>
      </c>
      <c r="B8" s="155" t="inlineStr">
        <is>
          <t>Rupture Oméga</t>
        </is>
      </c>
      <c r="C8" s="161" t="n">
        <v>3</v>
      </c>
      <c r="D8" s="155" t="inlineStr">
        <is>
          <t>omega</t>
        </is>
      </c>
      <c r="E8" s="155" t="inlineStr">
        <is>
          <t>damage_pct</t>
        </is>
      </c>
      <c r="F8" s="155" t="n">
        <v>35</v>
      </c>
      <c r="G8" s="155" t="n">
        <v>1</v>
      </c>
      <c r="H8" s="157" t="inlineStr">
        <is>
          <t>La technique ultime. Arrache 35% des PV du boss en un seul coup.</t>
        </is>
      </c>
      <c r="I8" s="155" t="inlineStr">
        <is>
          <t>level</t>
        </is>
      </c>
      <c r="J8" s="155" t="n">
        <v>30</v>
      </c>
      <c r="K8" s="155" t="inlineStr"/>
      <c r="L8" s="155" t="inlineStr"/>
      <c r="M8" s="155" t="inlineStr"/>
      <c r="N8" s="155" t="inlineStr"/>
    </row>
    <row r="9" ht="30" customHeight="1">
      <c r="A9" s="158" t="inlineStr">
        <is>
          <t>ultima</t>
        </is>
      </c>
      <c r="B9" s="158" t="inlineStr">
        <is>
          <t>Ultima</t>
        </is>
      </c>
      <c r="C9" s="161" t="n">
        <v>3</v>
      </c>
      <c r="D9" s="158" t="inlineStr">
        <is>
          <t>explosive-meeting</t>
        </is>
      </c>
      <c r="E9" s="158" t="inlineStr">
        <is>
          <t>damage_flat</t>
        </is>
      </c>
      <c r="F9" s="158" t="n">
        <v>1200</v>
      </c>
      <c r="G9" s="158" t="n">
        <v>1</v>
      </c>
      <c r="H9" s="159" t="inlineStr">
        <is>
          <t>L'attaque la plus destructrice connue. Rien ne lui résiste.</t>
        </is>
      </c>
      <c r="I9" s="158" t="inlineStr">
        <is>
          <t>limit_uses</t>
        </is>
      </c>
      <c r="J9" s="158" t="inlineStr"/>
      <c r="K9" s="158" t="inlineStr"/>
      <c r="L9" s="158" t="inlineStr"/>
      <c r="M9" s="158" t="inlineStr">
        <is>
          <t>limit_slash</t>
        </is>
      </c>
      <c r="N9" s="158" t="n">
        <v>5</v>
      </c>
    </row>
    <row r="11">
      <c r="A11" s="162" t="inlineStr">
        <is>
          <t>LÉGENDE EFFETS</t>
        </is>
      </c>
    </row>
    <row r="12">
      <c r="A12" s="163" t="inlineStr">
        <is>
          <t>damage_flat  → dégâts fixes infligés au boss</t>
        </is>
      </c>
    </row>
    <row r="13">
      <c r="A13" s="163" t="inlineStr">
        <is>
          <t>damage_pct   → % des PV MAX du boss (ex: 20 = 20%)</t>
        </is>
      </c>
    </row>
    <row r="14">
      <c r="A14" s="163" t="inlineStr">
        <is>
          <t>heal_pct     → % des PV MAX du joueur récupérés</t>
        </is>
      </c>
    </row>
    <row r="15">
      <c r="A15" s="163" t="inlineStr">
        <is>
          <t>buff_atk     → N prochains exercices infligent ×2 dégâts</t>
        </is>
      </c>
    </row>
    <row r="17">
      <c r="A17" s="162" t="inlineStr">
        <is>
          <t>LÉGENDE DÉBLOCAGES</t>
        </is>
      </c>
    </row>
    <row r="18">
      <c r="A18" s="163" t="inlineStr">
        <is>
          <t>level       → niveau joueur requis</t>
        </is>
      </c>
    </row>
    <row r="19">
      <c r="A19" s="163" t="inlineStr">
        <is>
          <t>kill_count  → tuer le boss X fois (boss_id + kills)</t>
        </is>
      </c>
    </row>
    <row r="20">
      <c r="A20" s="163" t="inlineStr">
        <is>
          <t>limit_uses  → utiliser une autre Limite X fois (limit_id + uses)</t>
        </is>
      </c>
    </row>
    <row r="21">
      <c r="A21" s="163" t="inlineStr">
        <is>
          <t>quest       → compléter une quête (quest_id)</t>
        </is>
      </c>
    </row>
  </sheetData>
  <mergeCells count="8">
    <mergeCell ref="A13:F13"/>
    <mergeCell ref="A14:F14"/>
    <mergeCell ref="A19:F19"/>
    <mergeCell ref="A12:F12"/>
    <mergeCell ref="A18:F18"/>
    <mergeCell ref="A20:F20"/>
    <mergeCell ref="A21:F21"/>
    <mergeCell ref="A15:F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" customWidth="1" min="3" max="3"/>
    <col width="12" customWidth="1" min="4" max="4"/>
    <col width="12" customWidth="1" min="5" max="5"/>
    <col width="20" customWidth="1" min="6" max="6"/>
    <col width="13" customWidth="1" min="7" max="7"/>
    <col width="7" customWidth="1" min="8" max="8"/>
    <col width="14" customWidth="1" min="9" max="9"/>
    <col width="14" customWidth="1" min="10" max="10"/>
    <col width="20" customWidth="1" min="11" max="11"/>
    <col width="16" customWidth="1" min="12" max="12"/>
    <col width="16" customWidth="1" min="13" max="13"/>
    <col width="14" customWidth="1" min="14" max="14"/>
    <col width="45" customWidth="1" min="15" max="15"/>
    <col width="38" customWidth="1" min="16" max="16"/>
    <col width="18" customWidth="1" min="17" max="17"/>
    <col width="42" customWidth="1" min="18" max="18"/>
  </cols>
  <sheetData>
    <row r="1" ht="24" customHeight="1">
      <c r="A1" s="164" t="inlineStr">
        <is>
          <t>id</t>
        </is>
      </c>
      <c r="B1" s="164" t="inlineStr">
        <is>
          <t>name</t>
        </is>
      </c>
      <c r="C1" s="164" t="inlineStr">
        <is>
          <t>icon</t>
        </is>
      </c>
      <c r="D1" s="164" t="inlineStr">
        <is>
          <t>rarity</t>
        </is>
      </c>
      <c r="E1" s="164" t="inlineStr">
        <is>
          <t>element</t>
        </is>
      </c>
      <c r="F1" s="164" t="inlineStr">
        <is>
          <t>effect_type</t>
        </is>
      </c>
      <c r="G1" s="164" t="inlineStr">
        <is>
          <t>base_damage</t>
        </is>
      </c>
      <c r="H1" s="164" t="inlineStr">
        <is>
          <t>hits</t>
        </is>
      </c>
      <c r="I1" s="164" t="inlineStr">
        <is>
          <t>stat_scale_stat</t>
        </is>
      </c>
      <c r="J1" s="164" t="inlineStr">
        <is>
          <t>stat_scale_mult</t>
        </is>
      </c>
      <c r="K1" s="164" t="inlineStr">
        <is>
          <t>side_effect_type</t>
        </is>
      </c>
      <c r="L1" s="164" t="inlineStr">
        <is>
          <t>side_effect_value</t>
        </is>
      </c>
      <c r="M1" s="164" t="inlineStr">
        <is>
          <t>instakill_thresh</t>
        </is>
      </c>
      <c r="N1" s="164" t="inlineStr">
        <is>
          <t>gauge_required</t>
        </is>
      </c>
      <c r="O1" s="164" t="inlineStr">
        <is>
          <t>desc</t>
        </is>
      </c>
      <c r="P1" s="164" t="inlineStr">
        <is>
          <t>flavor</t>
        </is>
      </c>
      <c r="Q1" s="164" t="inlineStr">
        <is>
          <t>obtain</t>
        </is>
      </c>
      <c r="R1" s="164" t="inlineStr">
        <is>
          <t>obtain_desc</t>
        </is>
      </c>
    </row>
    <row r="2" ht="30" customHeight="1">
      <c r="A2" s="165" t="inlineStr">
        <is>
          <t>titan</t>
        </is>
      </c>
      <c r="B2" s="166" t="inlineStr">
        <is>
          <t>Titan</t>
        </is>
      </c>
      <c r="C2" s="167" t="inlineStr">
        <is>
          <t>🗿</t>
        </is>
      </c>
      <c r="D2" s="168" t="inlineStr">
        <is>
          <t>Rare</t>
        </is>
      </c>
      <c r="E2" s="167" t="inlineStr">
        <is>
          <t>earth</t>
        </is>
      </c>
      <c r="F2" s="167" t="inlineStr">
        <is>
          <t>damage_force</t>
        </is>
      </c>
      <c r="G2" s="167" t="n">
        <v>100</v>
      </c>
      <c r="H2" s="167" t="n"/>
      <c r="I2" s="167" t="inlineStr">
        <is>
          <t>force</t>
        </is>
      </c>
      <c r="J2" s="167" t="n">
        <v>1.5</v>
      </c>
      <c r="K2" s="167" t="n"/>
      <c r="L2" s="167" t="n"/>
      <c r="M2" s="167" t="n"/>
      <c r="N2" s="167" t="n">
        <v>1</v>
      </c>
      <c r="O2" s="169" t="inlineStr">
        <is>
          <t>Le colosse de pierre écrase l'ennemi sous son poing de granite.</t>
        </is>
      </c>
      <c r="P2" s="169" t="inlineStr">
        <is>
          <t>« La montagne ne fléchit pas. »</t>
        </is>
      </c>
      <c r="Q2" s="167" t="inlineStr">
        <is>
          <t>drop:giant_boar</t>
        </is>
      </c>
      <c r="R2" s="169" t="inlineStr">
        <is>
          <t>Drop rare du Sanglier Géant</t>
        </is>
      </c>
    </row>
    <row r="3" ht="30" customHeight="1">
      <c r="A3" s="170" t="inlineStr">
        <is>
          <t>shiva</t>
        </is>
      </c>
      <c r="B3" s="171" t="inlineStr">
        <is>
          <t>Shiva</t>
        </is>
      </c>
      <c r="C3" s="172" t="inlineStr">
        <is>
          <t>❄️</t>
        </is>
      </c>
      <c r="D3" s="168" t="inlineStr">
        <is>
          <t>Rare</t>
        </is>
      </c>
      <c r="E3" s="172" t="inlineStr">
        <is>
          <t>ice</t>
        </is>
      </c>
      <c r="F3" s="172" t="inlineStr">
        <is>
          <t>damage_flat</t>
        </is>
      </c>
      <c r="G3" s="172" t="n">
        <v>110</v>
      </c>
      <c r="H3" s="172" t="n"/>
      <c r="I3" s="172" t="n"/>
      <c r="J3" s="172" t="n"/>
      <c r="K3" s="172" t="inlineStr">
        <is>
          <t>boss_weaken</t>
        </is>
      </c>
      <c r="L3" s="172" t="inlineStr">
        <is>
          <t>turns:1,reduction:0.5</t>
        </is>
      </c>
      <c r="M3" s="172" t="n"/>
      <c r="N3" s="172" t="n">
        <v>1</v>
      </c>
      <c r="O3" s="173" t="inlineStr">
        <is>
          <t>Blizzard paralysant — réduit l'attaque du boss de 50% pendant 1 tour.</t>
        </is>
      </c>
      <c r="P3" s="173" t="inlineStr">
        <is>
          <t>« Le froid n'est pas une punition, c'est une vérité. »</t>
        </is>
      </c>
      <c r="Q3" s="172" t="inlineStr">
        <is>
          <t>drop:corrupted_dryad</t>
        </is>
      </c>
      <c r="R3" s="173" t="inlineStr">
        <is>
          <t>Drop rare de la Dryade Corrompue</t>
        </is>
      </c>
    </row>
    <row r="4" ht="30" customHeight="1">
      <c r="A4" s="165" t="inlineStr">
        <is>
          <t>ifrit</t>
        </is>
      </c>
      <c r="B4" s="166" t="inlineStr">
        <is>
          <t>Ifrit</t>
        </is>
      </c>
      <c r="C4" s="167" t="inlineStr">
        <is>
          <t>🔥</t>
        </is>
      </c>
      <c r="D4" s="168" t="inlineStr">
        <is>
          <t>Rare</t>
        </is>
      </c>
      <c r="E4" s="167" t="inlineStr">
        <is>
          <t>fire</t>
        </is>
      </c>
      <c r="F4" s="167" t="inlineStr">
        <is>
          <t>damage_flat</t>
        </is>
      </c>
      <c r="G4" s="167" t="n">
        <v>130</v>
      </c>
      <c r="H4" s="167" t="n"/>
      <c r="I4" s="167" t="n"/>
      <c r="J4" s="167" t="n"/>
      <c r="K4" s="167" t="n"/>
      <c r="L4" s="167" t="n"/>
      <c r="M4" s="167" t="n"/>
      <c r="N4" s="167" t="n">
        <v>1</v>
      </c>
      <c r="O4" s="169" t="inlineStr">
        <is>
          <t>Dégâts de feu purs. Multiplicateur élémentaire appliqué si le boss a un élément.</t>
        </is>
      </c>
      <c r="P4" s="169" t="inlineStr">
        <is>
          <t>« La flamme ne demande pas la permission. »</t>
        </is>
      </c>
      <c r="Q4" s="167" t="inlineStr">
        <is>
          <t>drop:goblin_woods</t>
        </is>
      </c>
      <c r="R4" s="169" t="inlineStr">
        <is>
          <t>Drop rare du Gobelin des Bois</t>
        </is>
      </c>
    </row>
    <row r="5" ht="30" customHeight="1">
      <c r="A5" s="170" t="inlineStr">
        <is>
          <t>ramuh</t>
        </is>
      </c>
      <c r="B5" s="171" t="inlineStr">
        <is>
          <t>Ramuh</t>
        </is>
      </c>
      <c r="C5" s="172" t="inlineStr">
        <is>
          <t>⚡</t>
        </is>
      </c>
      <c r="D5" s="174" t="inlineStr">
        <is>
          <t>Épique</t>
        </is>
      </c>
      <c r="E5" s="172" t="inlineStr">
        <is>
          <t>lightning</t>
        </is>
      </c>
      <c r="F5" s="172" t="inlineStr">
        <is>
          <t>damage_flat</t>
        </is>
      </c>
      <c r="G5" s="172" t="n">
        <v>180</v>
      </c>
      <c r="H5" s="172" t="n"/>
      <c r="I5" s="172" t="n"/>
      <c r="J5" s="172" t="n"/>
      <c r="K5" s="172" t="inlineStr">
        <is>
          <t>boss_stun</t>
        </is>
      </c>
      <c r="L5" s="172" t="inlineStr">
        <is>
          <t>turns:1</t>
        </is>
      </c>
      <c r="M5" s="172" t="n"/>
      <c r="N5" s="172" t="n">
        <v>1</v>
      </c>
      <c r="O5" s="173" t="inlineStr">
        <is>
          <t>Frappe de foudre + étourdissement du boss (pas de contre-attaque ce tour).</t>
        </is>
      </c>
      <c r="P5" s="173" t="inlineStr">
        <is>
          <t>« Le jugement tombe vite et sans appel. »</t>
        </is>
      </c>
      <c r="Q5" s="172" t="inlineStr">
        <is>
          <t>drop:wolf_alpha</t>
        </is>
      </c>
      <c r="R5" s="173" t="inlineStr">
        <is>
          <t>Drop rare du Loup Alpha</t>
        </is>
      </c>
    </row>
    <row r="6" ht="30" customHeight="1">
      <c r="A6" s="165" t="inlineStr">
        <is>
          <t>leviathan</t>
        </is>
      </c>
      <c r="B6" s="166" t="inlineStr">
        <is>
          <t>Léviathan</t>
        </is>
      </c>
      <c r="C6" s="167" t="inlineStr">
        <is>
          <t>🌊</t>
        </is>
      </c>
      <c r="D6" s="174" t="inlineStr">
        <is>
          <t>Épique</t>
        </is>
      </c>
      <c r="E6" s="167" t="inlineStr">
        <is>
          <t>water</t>
        </is>
      </c>
      <c r="F6" s="167" t="inlineStr">
        <is>
          <t>damage_flat</t>
        </is>
      </c>
      <c r="G6" s="167" t="n">
        <v>150</v>
      </c>
      <c r="H6" s="167" t="n"/>
      <c r="I6" s="167" t="n"/>
      <c r="J6" s="167" t="n"/>
      <c r="K6" s="167" t="inlineStr">
        <is>
          <t>heal_pct</t>
        </is>
      </c>
      <c r="L6" s="167" t="inlineStr">
        <is>
          <t>value:0.3</t>
        </is>
      </c>
      <c r="M6" s="167" t="n"/>
      <c r="N6" s="167" t="n">
        <v>1</v>
      </c>
      <c r="O6" s="169" t="inlineStr">
        <is>
          <t>150 dégâts + restaure 30% des PV max du joueur.</t>
        </is>
      </c>
      <c r="P6" s="169" t="inlineStr">
        <is>
          <t>« L'eau donne et reprend à sa guise. »</t>
        </is>
      </c>
      <c r="Q6" s="167" t="inlineStr">
        <is>
          <t>drop:swamp_troll</t>
        </is>
      </c>
      <c r="R6" s="169" t="inlineStr">
        <is>
          <t>Drop rare du Troll des Marais</t>
        </is>
      </c>
    </row>
    <row r="7" ht="30" customHeight="1">
      <c r="A7" s="170" t="inlineStr">
        <is>
          <t>odin</t>
        </is>
      </c>
      <c r="B7" s="171" t="inlineStr">
        <is>
          <t>Odin</t>
        </is>
      </c>
      <c r="C7" s="172" t="inlineStr">
        <is>
          <t>☠️</t>
        </is>
      </c>
      <c r="D7" s="174" t="inlineStr">
        <is>
          <t>Épique</t>
        </is>
      </c>
      <c r="E7" s="172" t="inlineStr">
        <is>
          <t>dark</t>
        </is>
      </c>
      <c r="F7" s="172" t="inlineStr">
        <is>
          <t>instakill_or_damage</t>
        </is>
      </c>
      <c r="G7" s="172" t="n">
        <v>200</v>
      </c>
      <c r="H7" s="172" t="n"/>
      <c r="I7" s="172" t="n"/>
      <c r="J7" s="172" t="n"/>
      <c r="K7" s="172" t="n"/>
      <c r="L7" s="172" t="n"/>
      <c r="M7" s="172" t="n">
        <v>0.3</v>
      </c>
      <c r="N7" s="172" t="n">
        <v>1</v>
      </c>
      <c r="O7" s="173" t="inlineStr">
        <is>
          <t>Boss &lt; 30% PV → mort instantanée (Odinfell). Sinon 200 dégâts.</t>
        </is>
      </c>
      <c r="P7" s="173" t="inlineStr">
        <is>
          <t>« Certains destins ne connaissent pas d'appel. »</t>
        </is>
      </c>
      <c r="Q7" s="172" t="inlineStr">
        <is>
          <t>drop:witch_woods</t>
        </is>
      </c>
      <c r="R7" s="173" t="inlineStr">
        <is>
          <t>Drop rare de la Sorcière des Bois</t>
        </is>
      </c>
    </row>
    <row r="8" ht="30" customHeight="1">
      <c r="A8" s="165" t="inlineStr">
        <is>
          <t>alexander</t>
        </is>
      </c>
      <c r="B8" s="166" t="inlineStr">
        <is>
          <t>Alexander</t>
        </is>
      </c>
      <c r="C8" s="167" t="inlineStr">
        <is>
          <t>🏰</t>
        </is>
      </c>
      <c r="D8" s="174" t="inlineStr">
        <is>
          <t>Épique</t>
        </is>
      </c>
      <c r="E8" s="167" t="inlineStr">
        <is>
          <t>holy</t>
        </is>
      </c>
      <c r="F8" s="167" t="inlineStr">
        <is>
          <t>damage_flat</t>
        </is>
      </c>
      <c r="G8" s="167" t="n">
        <v>160</v>
      </c>
      <c r="H8" s="167" t="n"/>
      <c r="I8" s="167" t="n"/>
      <c r="J8" s="167" t="n"/>
      <c r="K8" s="167" t="inlineStr">
        <is>
          <t>restore_mp</t>
        </is>
      </c>
      <c r="L8" s="167" t="inlineStr">
        <is>
          <t>value:35</t>
        </is>
      </c>
      <c r="M8" s="167" t="n"/>
      <c r="N8" s="167" t="n">
        <v>1</v>
      </c>
      <c r="O8" s="169" t="inlineStr">
        <is>
          <t>160 dégâts + restaure 35 MP au joueur.</t>
        </is>
      </c>
      <c r="P8" s="169" t="inlineStr">
        <is>
          <t>« Le sacré protège autant qu'il détruit. »</t>
        </is>
      </c>
      <c r="Q8" s="167" t="inlineStr">
        <is>
          <t>quest</t>
        </is>
      </c>
      <c r="R8" s="169" t="inlineStr">
        <is>
          <t>Quête 'Lumière des Anciens' — vaincre 10 boss</t>
        </is>
      </c>
    </row>
    <row r="9" ht="30" customHeight="1">
      <c r="A9" s="170" t="inlineStr">
        <is>
          <t>bahamut</t>
        </is>
      </c>
      <c r="B9" s="171" t="inlineStr">
        <is>
          <t>Bahamut</t>
        </is>
      </c>
      <c r="C9" s="172" t="inlineStr">
        <is>
          <t>🐲</t>
        </is>
      </c>
      <c r="D9" s="175" t="inlineStr">
        <is>
          <t>Légendaire</t>
        </is>
      </c>
      <c r="E9" s="172" t="inlineStr">
        <is>
          <t>wind</t>
        </is>
      </c>
      <c r="F9" s="172" t="inlineStr">
        <is>
          <t>damage_flat</t>
        </is>
      </c>
      <c r="G9" s="172" t="n">
        <v>350</v>
      </c>
      <c r="H9" s="172" t="n"/>
      <c r="I9" s="172" t="n"/>
      <c r="J9" s="172" t="n"/>
      <c r="K9" s="172" t="n"/>
      <c r="L9" s="172" t="n"/>
      <c r="M9" s="172" t="n"/>
      <c r="N9" s="172" t="n">
        <v>1</v>
      </c>
      <c r="O9" s="173" t="inlineStr">
        <is>
          <t>Mégaflare : 350 dégâts purs. Aucun effet secondaire.</t>
        </is>
      </c>
      <c r="P9" s="173" t="inlineStr">
        <is>
          <t>« Face au roi des dragons, l'orgueil se tait. »</t>
        </is>
      </c>
      <c r="Q9" s="172" t="inlineStr">
        <is>
          <t>regional:wolf_king</t>
        </is>
      </c>
      <c r="R9" s="173" t="inlineStr">
        <is>
          <t>Drop Boss Régional Roi des Loups</t>
        </is>
      </c>
    </row>
    <row r="10" ht="30" customHeight="1">
      <c r="A10" s="165" t="inlineStr">
        <is>
          <t>phoenix</t>
        </is>
      </c>
      <c r="B10" s="166" t="inlineStr">
        <is>
          <t>Phénix</t>
        </is>
      </c>
      <c r="C10" s="167" t="inlineStr">
        <is>
          <t>🦅</t>
        </is>
      </c>
      <c r="D10" s="175" t="inlineStr">
        <is>
          <t>Légendaire</t>
        </is>
      </c>
      <c r="E10" s="167" t="inlineStr">
        <is>
          <t>fire</t>
        </is>
      </c>
      <c r="F10" s="167" t="inlineStr">
        <is>
          <t>damage_flat</t>
        </is>
      </c>
      <c r="G10" s="167" t="n">
        <v>220</v>
      </c>
      <c r="H10" s="167" t="n"/>
      <c r="I10" s="167" t="n"/>
      <c r="J10" s="167" t="n"/>
      <c r="K10" s="167" t="inlineStr">
        <is>
          <t>conditional_heal</t>
        </is>
      </c>
      <c r="L10" s="167" t="inlineStr">
        <is>
          <t>hpThreshold:0.4,healTo:0.65</t>
        </is>
      </c>
      <c r="M10" s="167" t="n"/>
      <c r="N10" s="167" t="n">
        <v>1</v>
      </c>
      <c r="O10" s="169" t="inlineStr">
        <is>
          <t>220 dégâts. Si joueur &lt; 40% PV → soin à 65% PV max.</t>
        </is>
      </c>
      <c r="P10" s="169" t="inlineStr">
        <is>
          <t>« De la cendre naît la force. »</t>
        </is>
      </c>
      <c r="Q10" s="167" t="inlineStr">
        <is>
          <t>drop:cursed_fairy</t>
        </is>
      </c>
      <c r="R10" s="169" t="inlineStr">
        <is>
          <t>Drop rare de la Fée Maudite</t>
        </is>
      </c>
    </row>
    <row r="11" ht="30" customHeight="1">
      <c r="A11" s="170" t="inlineStr">
        <is>
          <t>knights_of_round</t>
        </is>
      </c>
      <c r="B11" s="171" t="inlineStr">
        <is>
          <t>Chevaliers de la Table</t>
        </is>
      </c>
      <c r="C11" s="172" t="inlineStr">
        <is>
          <t>⚔️</t>
        </is>
      </c>
      <c r="D11" s="175" t="inlineStr">
        <is>
          <t>Légendaire</t>
        </is>
      </c>
      <c r="E11" s="172" t="n"/>
      <c r="F11" s="172" t="inlineStr">
        <is>
          <t>multihit</t>
        </is>
      </c>
      <c r="G11" s="172" t="n">
        <v>100</v>
      </c>
      <c r="H11" s="172" t="n">
        <v>5</v>
      </c>
      <c r="I11" s="172" t="n"/>
      <c r="J11" s="172" t="n"/>
      <c r="K11" s="172" t="n"/>
      <c r="L11" s="172" t="n"/>
      <c r="M11" s="172" t="n"/>
      <c r="N11" s="172" t="n">
        <v>1</v>
      </c>
      <c r="O11" s="173" t="inlineStr">
        <is>
          <t>5 frappes × 100 dégâts = 500 dégâts totaux.</t>
        </is>
      </c>
      <c r="P11" s="173" t="inlineStr">
        <is>
          <t>« Seuls les plus vaillants méritent leur aide. »</t>
        </is>
      </c>
      <c r="Q11" s="172" t="inlineStr">
        <is>
          <t>forge</t>
        </is>
      </c>
      <c r="R11" s="173" t="inlineStr">
        <is>
          <t>Forge légendaire : 3× Fang d'Argent + 2× Cristal de Mana + 1× Os Runique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26" customHeight="1">
      <c r="A1" s="176" t="inlineStr">
        <is>
          <t>⚙️ MÉCANIQUE GÉNÉRALE</t>
        </is>
      </c>
      <c r="B1" s="182" t="n"/>
    </row>
    <row r="2" ht="34" customHeight="1">
      <c r="A2" s="177" t="inlineStr">
        <is>
          <t>Emplacements max équipés</t>
        </is>
      </c>
      <c r="B2" s="178" t="inlineStr">
        <is>
          <t>3 invocations différentes en simultané (choix dans l'inventaire Hub)</t>
        </is>
      </c>
    </row>
    <row r="3" ht="34" customHeight="1">
      <c r="A3" s="179" t="inlineStr">
        <is>
          <t>Usages par combat</t>
        </is>
      </c>
      <c r="B3" s="180" t="inlineStr">
        <is>
          <t>1 seul usage par invocation et par combat — impossible de répéter</t>
        </is>
      </c>
    </row>
    <row r="4" ht="34" customHeight="1">
      <c r="A4" s="177" t="inlineStr">
        <is>
          <t>Jauge (Gauge)</t>
        </is>
      </c>
      <c r="B4" s="178" t="inlineStr">
        <is>
          <t>Se remplit de +25% à chaque contre-attaque boss reçue. 4 coups = pleine.</t>
        </is>
      </c>
    </row>
    <row r="5" ht="34" customHeight="1">
      <c r="A5" s="179" t="inlineStr">
        <is>
          <t>Activation</t>
        </is>
      </c>
      <c r="B5" s="180" t="inlineStr">
        <is>
          <t>Jauge à 100% requis. Se remet à 0 après chaque utilisation.</t>
        </is>
      </c>
    </row>
    <row r="6" ht="34" customHeight="1">
      <c r="A6" s="177" t="inlineStr">
        <is>
          <t>Persistance</t>
        </is>
      </c>
      <c r="B6" s="178" t="inlineStr">
        <is>
          <t>La jauge repart à 0 entre les combats. Ne persiste PAS entre les séances.</t>
        </is>
      </c>
    </row>
    <row r="7" ht="34" customHeight="1">
      <c r="A7" s="179" t="inlineStr">
        <is>
          <t>Cumul avec Limite</t>
        </is>
      </c>
      <c r="B7" s="180" t="inlineStr">
        <is>
          <t>La jauge d'invocation se remplit EN PARALLÈLE de la barre de Limite.</t>
        </is>
      </c>
    </row>
    <row r="8" ht="26" customHeight="1">
      <c r="A8" s="176" t="inlineStr">
        <is>
          <t>⚡ EFFETS PRINCIPAUX</t>
        </is>
      </c>
      <c r="B8" s="182" t="n"/>
    </row>
    <row r="9" ht="34" customHeight="1">
      <c r="A9" s="179" t="inlineStr">
        <is>
          <t>damage_force</t>
        </is>
      </c>
      <c r="B9" s="180" t="inlineStr">
        <is>
          <t>Dégâts = baseDamage + force_joueur × stat_scale_mult (Titan)</t>
        </is>
      </c>
    </row>
    <row r="10" ht="34" customHeight="1">
      <c r="A10" s="177" t="inlineStr">
        <is>
          <t>damage_flat</t>
        </is>
      </c>
      <c r="B10" s="178" t="inlineStr">
        <is>
          <t>Dégâts fixes (avec multiplicateur élémentaire si applicable)</t>
        </is>
      </c>
    </row>
    <row r="11" ht="34" customHeight="1">
      <c r="A11" s="179" t="inlineStr">
        <is>
          <t>instakill_or_damage</t>
        </is>
      </c>
      <c r="B11" s="180" t="inlineStr">
        <is>
          <t>Boss &lt; instakill_thresh PV → mort immédiate. Sinon → dégâts normaux. (Odin)</t>
        </is>
      </c>
    </row>
    <row r="12" ht="34" customHeight="1">
      <c r="A12" s="177" t="inlineStr">
        <is>
          <t>multihit</t>
        </is>
      </c>
      <c r="B12" s="178" t="inlineStr">
        <is>
          <t>N frappes × base_damage_per_hit. Total = hits × base_damage. (Chevaliers)</t>
        </is>
      </c>
    </row>
    <row r="13" ht="26" customHeight="1">
      <c r="A13" s="176" t="inlineStr">
        <is>
          <t>✨ EFFETS SECONDAIRES</t>
        </is>
      </c>
      <c r="B13" s="182" t="n"/>
    </row>
    <row r="14" ht="34" customHeight="1">
      <c r="A14" s="177" t="inlineStr">
        <is>
          <t>boss_weaken</t>
        </is>
      </c>
      <c r="B14" s="178" t="inlineStr">
        <is>
          <t>Réduit les dégâts de la prochaine contre-attaque boss (réduction en %). Dure N tours.</t>
        </is>
      </c>
    </row>
    <row r="15" ht="34" customHeight="1">
      <c r="A15" s="179" t="inlineStr">
        <is>
          <t>boss_stun</t>
        </is>
      </c>
      <c r="B15" s="180" t="inlineStr">
        <is>
          <t>Le boss saute sa contre-attaque ce tour. Dure N tours.</t>
        </is>
      </c>
    </row>
    <row r="16" ht="34" customHeight="1">
      <c r="A16" s="177" t="inlineStr">
        <is>
          <t>heal_pct</t>
        </is>
      </c>
      <c r="B16" s="178" t="inlineStr">
        <is>
          <t>Restaure X% des PV MAX du joueur (indépendant des PV actuels).</t>
        </is>
      </c>
    </row>
    <row r="17" ht="34" customHeight="1">
      <c r="A17" s="179" t="inlineStr">
        <is>
          <t>restore_mp</t>
        </is>
      </c>
      <c r="B17" s="180" t="inlineStr">
        <is>
          <t>Restaure X MP au joueur instantanément.</t>
        </is>
      </c>
    </row>
    <row r="18" ht="34" customHeight="1">
      <c r="A18" s="177" t="inlineStr">
        <is>
          <t>conditional_heal</t>
        </is>
      </c>
      <c r="B18" s="178" t="inlineStr">
        <is>
          <t>Soin à healTo % PV uniquement si joueur &lt; hpThreshold % PV. Sinon aucun soin.</t>
        </is>
      </c>
    </row>
    <row r="19" ht="26" customHeight="1">
      <c r="A19" s="176" t="inlineStr">
        <is>
          <t>📍 OBTENTION</t>
        </is>
      </c>
      <c r="B19" s="182" t="n"/>
    </row>
    <row r="20" ht="34" customHeight="1">
      <c r="A20" s="177" t="inlineStr">
        <is>
          <t>drop:&lt;boss_id&gt;</t>
        </is>
      </c>
      <c r="B20" s="178" t="inlineStr">
        <is>
          <t>Drop rare aléatoire à chaque victoire sur le boss indiqué.</t>
        </is>
      </c>
    </row>
    <row r="21" ht="34" customHeight="1">
      <c r="A21" s="179" t="inlineStr">
        <is>
          <t>regional:&lt;boss_id&gt;</t>
        </is>
      </c>
      <c r="B21" s="180" t="inlineStr">
        <is>
          <t>Drop du boss régional de zone (boss de fin de zone).</t>
        </is>
      </c>
    </row>
    <row r="22" ht="34" customHeight="1">
      <c r="A22" s="177" t="inlineStr">
        <is>
          <t>quest</t>
        </is>
      </c>
      <c r="B22" s="178" t="inlineStr">
        <is>
          <t>Récompense de quête spéciale (Alexander : vaincre 10 boss différents).</t>
        </is>
      </c>
    </row>
    <row r="23" ht="34" customHeight="1">
      <c r="A23" s="179" t="inlineStr">
        <is>
          <t>forge</t>
        </is>
      </c>
      <c r="B23" s="180" t="inlineStr">
        <is>
          <t>Recette légendaire au Forgeron (matériaux rares requis).</t>
        </is>
      </c>
    </row>
    <row r="24" ht="34" customHeight="1">
      <c r="A24" s="177" t="inlineStr">
        <is>
          <t>Admin → Invocations</t>
        </is>
      </c>
      <c r="B24" s="178" t="inlineStr">
        <is>
          <t>L'administrateur peut donner/retirer des invocations depuis le panneau admin.</t>
        </is>
      </c>
    </row>
  </sheetData>
  <mergeCells count="4">
    <mergeCell ref="A8:B8"/>
    <mergeCell ref="A19:B19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2026-05-12T07:33:45Z</dcterms:created>
  <dcterms:modified xmlns:dcterms="http://purl.org/dc/terms/" xmlns:xsi="http://www.w3.org/2001/XMLSchema-instance" xsi:type="dcterms:W3CDTF">2026-05-17T07:48:20Z</dcterms:modified>
</cp:coreProperties>
</file>